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esearch\Desktop\Data Portfolio\Coffee Sales Excel Dashboard\"/>
    </mc:Choice>
  </mc:AlternateContent>
  <xr:revisionPtr revIDLastSave="0" documentId="13_ncr:1_{D5091F0C-123F-4907-9265-FCE8F0441BA1}" xr6:coauthVersionLast="47" xr6:coauthVersionMax="47" xr10:uidLastSave="{00000000-0000-0000-0000-000000000000}"/>
  <bookViews>
    <workbookView xWindow="-108" yWindow="-108" windowWidth="23256" windowHeight="12456" xr2:uid="{00000000-000D-0000-FFFF-FFFF00000000}"/>
  </bookViews>
  <sheets>
    <sheet name="Sheet1" sheetId="18" r:id="rId1"/>
    <sheet name="orders" sheetId="17" r:id="rId2"/>
    <sheet name="customers" sheetId="13" r:id="rId3"/>
    <sheet name="products" sheetId="2" r:id="rId4"/>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L2" i="17"/>
  <c r="M2" i="17" s="1"/>
  <c r="K2" i="17"/>
  <c r="J2" i="17"/>
  <c r="O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<sst xmlns="http://schemas.openxmlformats.org/spreadsheetml/2006/main" count="11076" uniqueCount="6213">
  <si>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</si>
  <si>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</si>
  <si>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</si>
  <si>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</si>
  <si>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</si>
  <si>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</si>
  <si>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</si>
  <si>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</si>
  <si>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</si>
  <si>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</si>
  <si>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</si>
  <si>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</si>
  <si>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</si>
  <si>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</si>
  <si>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</si>
  <si>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</si>
  <si>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</si>
  <si>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</si>
  <si>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</si>
  <si>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</si>
  <si>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</si>
  <si>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</si>
  <si>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</si>
  <si>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</si>
  <si>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</si>
  <si>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</si>
  <si>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</si>
  <si>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</si>
  <si>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</si>
  <si>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</si>
  <si>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</si>
  <si>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</si>
  <si>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</si>
  <si>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</si>
  <si>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</si>
  <si>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</si>
  <si>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</si>
  <si>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</si>
  <si>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</si>
  <si>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</si>
  <si>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</si>
  <si>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</si>
  <si>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</si>
  <si>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</si>
  <si>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</si>
  <si>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</si>
  <si>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</si>
  <si>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</si>
  <si>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</si>
  <si>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</si>
  <si>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</si>
  <si>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</si>
  <si>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</si>
  <si>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</si>
  <si>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</si>
  <si>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</si>
  <si>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</si>
  <si>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</si>
  <si>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</si>
  <si>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</si>
  <si>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</si>
  <si>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</si>
  <si>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</si>
  <si>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</si>
  <si>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</si>
  <si>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</si>
  <si>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</si>
  <si>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</si>
  <si>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</si>
  <si>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</si>
  <si>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</si>
  <si>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</si>
  <si>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</si>
  <si>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</si>
  <si>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</si>
  <si>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</si>
  <si>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</si>
  <si>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</si>
  <si>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</si>
  <si>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</si>
  <si>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</si>
  <si>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</si>
  <si>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</si>
  <si>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</si>
  <si>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</si>
  <si>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</si>
  <si>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</si>
  <si>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</si>
  <si>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</si>
  <si>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</si>
  <si>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</si>
  <si>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</si>
  <si>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</si>
  <si>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</si>
  <si>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</si>
  <si>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</si>
  <si>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</si>
  <si>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</si>
  <si>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</si>
  <si>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</si>
  <si>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</si>
  <si>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</si>
  <si>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</si>
  <si>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</si>
  <si>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</si>
  <si>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</si>
  <si>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</si>
  <si>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</si>
  <si>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</si>
  <si>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</si>
  <si>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</si>
  <si>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</si>
  <si>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</si>
  <si>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</si>
  <si>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</si>
  <si>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</si>
  <si>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</si>
  <si>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</si>
  <si>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</si>
  <si>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</si>
  <si>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</si>
  <si>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</si>
  <si>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</si>
  <si>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</si>
  <si>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</si>
  <si>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</si>
  <si>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</si>
  <si>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</si>
  <si>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</si>
  <si>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</si>
  <si>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</si>
  <si>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</si>
  <si>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</si>
  <si>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</si>
  <si>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</si>
  <si>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</si>
  <si>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</si>
  <si>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</si>
  <si>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</si>
  <si>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</si>
  <si>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</si>
  <si>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</si>
  <si>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</si>
  <si>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</si>
  <si>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</si>
  <si>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</si>
  <si>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</si>
  <si>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</si>
  <si>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</si>
  <si>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</si>
  <si>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</si>
  <si>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</si>
  <si>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</si>
  <si>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</si>
  <si>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</si>
  <si>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</si>
  <si>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</si>
  <si>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</si>
  <si>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</si>
  <si>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</si>
  <si>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</si>
  <si>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</si>
  <si>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</si>
  <si>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</si>
  <si>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</si>
  <si>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</si>
  <si>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</si>
  <si>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</si>
  <si>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</si>
  <si>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</si>
  <si>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</si>
  <si>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</si>
  <si>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</si>
  <si>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</si>
  <si>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</si>
  <si>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</si>
  <si>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</si>
  <si>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</si>
  <si>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</si>
  <si>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</si>
  <si>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</si>
  <si>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</si>
  <si>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</si>
  <si>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</si>
  <si>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</si>
  <si>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</si>
  <si>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</si>
  <si>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</si>
  <si>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</si>
  <si>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</si>
  <si>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</si>
  <si>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</si>
  <si>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</si>
  <si>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</si>
  <si>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</si>
  <si>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</si>
  <si>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</si>
  <si>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</si>
  <si>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</si>
  <si>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</si>
  <si>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</si>
  <si>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</si>
  <si>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</si>
  <si>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</si>
  <si>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</si>
  <si>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</si>
  <si>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</si>
  <si>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</si>
  <si>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</si>
  <si>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</si>
  <si>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</si>
  <si>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</si>
  <si>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</si>
  <si>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</si>
  <si>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</si>
  <si>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</si>
  <si>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</si>
  <si>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</si>
  <si>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</si>
  <si>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</si>
  <si>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</si>
  <si>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</si>
  <si>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</si>
  <si>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</si>
  <si>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</si>
  <si>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</si>
  <si>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</si>
  <si>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</si>
  <si>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</si>
  <si>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</si>
  <si>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</si>
  <si>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</si>
  <si>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</si>
  <si>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</si>
  <si>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</si>
  <si>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</si>
  <si>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</si>
  <si>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</si>
  <si>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</si>
  <si>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</si>
  <si>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</si>
  <si>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</si>
  <si>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</si>
  <si>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</si>
  <si>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</si>
  <si>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</si>
  <si>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</si>
  <si>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</si>
  <si>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</si>
  <si>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</si>
  <si>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</si>
  <si>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</si>
  <si>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</si>
  <si>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</si>
  <si>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</si>
  <si>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</si>
  <si>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</si>
  <si>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</si>
  <si>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</si>
  <si>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</si>
  <si>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</si>
  <si>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</si>
  <si>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</si>
  <si>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</si>
  <si>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</si>
  <si>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</si>
  <si>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</si>
  <si>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</si>
  <si>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</si>
  <si>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</si>
  <si>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</si>
  <si>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</si>
  <si>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</si>
  <si>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</si>
  <si>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</si>
  <si>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</si>
  <si>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</si>
  <si>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</si>
  <si>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</si>
  <si>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</si>
  <si>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</si>
  <si>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</si>
  <si>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</si>
  <si>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</si>
  <si>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</si>
  <si>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</si>
  <si>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</si>
  <si>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</si>
  <si>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</si>
  <si>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</si>
  <si>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</si>
  <si>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</si>
  <si>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</si>
  <si>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</si>
  <si>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</si>
  <si>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</si>
  <si>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</si>
  <si>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</si>
  <si>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</si>
  <si>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</si>
  <si>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</si>
  <si>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</si>
  <si>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</si>
  <si>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</si>
  <si>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</si>
  <si>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</si>
  <si>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</si>
  <si>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</si>
  <si>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</si>
  <si>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</si>
  <si>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</si>
  <si>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</si>
  <si>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</si>
  <si>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</si>
  <si>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</si>
  <si>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</si>
  <si>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</si>
  <si>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</si>
  <si>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</si>
  <si>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</si>
  <si>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</si>
  <si>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</si>
  <si>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</si>
  <si>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</si>
  <si>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</si>
  <si>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</si>
  <si>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</si>
  <si>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</si>
  <si>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</si>
  <si>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</si>
  <si>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</si>
  <si>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</si>
  <si>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</si>
  <si>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</si>
  <si>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</si>
  <si>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</si>
  <si>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</si>
  <si>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</si>
  <si>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</si>
  <si>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</si>
  <si>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</si>
  <si>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</si>
  <si>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</si>
  <si>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</si>
  <si>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</si>
  <si>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</si>
  <si>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</si>
  <si>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</si>
  <si>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</si>
  <si>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</si>
  <si>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</si>
  <si>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</si>
  <si>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</si>
  <si>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</si>
  <si>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</si>
  <si>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</si>
  <si>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</si>
  <si>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</si>
  <si>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</si>
  <si>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</si>
  <si>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</si>
  <si>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</si>
  <si>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</si>
  <si>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</si>
  <si>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</si>
  <si>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</si>
  <si>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</si>
  <si>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</si>
  <si>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</si>
  <si>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</si>
  <si>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</si>
  <si>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</si>
  <si>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</si>
  <si>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</si>
  <si>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</si>
  <si>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</si>
  <si>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</si>
  <si>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</si>
  <si>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</si>
  <si>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</si>
  <si>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</si>
  <si>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</si>
  <si>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</si>
  <si>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</si>
  <si>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</si>
  <si>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</si>
  <si>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</si>
  <si>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</si>
  <si>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</si>
  <si>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</si>
  <si>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</si>
  <si>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</si>
  <si>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</si>
  <si>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</si>
  <si>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</si>
  <si>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</si>
  <si>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</si>
  <si>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</si>
  <si>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</si>
  <si>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</si>
  <si>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</si>
  <si>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</si>
  <si>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</si>
  <si>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</si>
  <si>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</si>
  <si>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</si>
  <si>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</si>
  <si>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</si>
  <si>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</si>
  <si>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</si>
  <si>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</si>
  <si>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</si>
  <si>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</si>
  <si>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</si>
  <si>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</si>
  <si>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</si>
  <si>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</si>
  <si>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</si>
  <si>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</si>
  <si>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</si>
  <si>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</si>
  <si>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</si>
  <si>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</si>
  <si>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</si>
  <si>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</si>
  <si>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</si>
  <si>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</si>
  <si>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</si>
  <si>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</si>
  <si>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</si>
  <si>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</si>
  <si>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</si>
  <si>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</si>
  <si>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</si>
  <si>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</si>
  <si>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</si>
  <si>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</si>
  <si>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</si>
  <si>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</si>
  <si>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</si>
  <si>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</si>
  <si>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</si>
  <si>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</si>
  <si>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</si>
  <si>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</si>
  <si>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</si>
  <si>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</si>
  <si>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</si>
  <si>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</si>
  <si>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</si>
  <si>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</si>
  <si>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</si>
  <si>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</si>
  <si>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</si>
  <si>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</si>
  <si>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</si>
  <si>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</si>
  <si>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</si>
  <si>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</si>
  <si>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</si>
  <si>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</si>
  <si>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</si>
  <si>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</si>
  <si>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</si>
  <si>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</si>
  <si>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</si>
  <si>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</si>
  <si>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</si>
  <si>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</si>
  <si>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</si>
  <si>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</si>
  <si>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</si>
  <si>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</si>
  <si>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</si>
  <si>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</si>
  <si>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</si>
  <si>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</si>
  <si>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</si>
  <si>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</si>
  <si>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</si>
  <si>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</si>
  <si>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</si>
  <si>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</si>
  <si>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</si>
  <si>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</si>
  <si>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</si>
  <si>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</si>
  <si>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</si>
  <si>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</si>
  <si>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</si>
  <si>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</si>
  <si>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</si>
  <si>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</si>
  <si>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</si>
  <si>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</si>
  <si>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</si>
  <si>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</si>
  <si>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</si>
  <si>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</si>
  <si>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</si>
  <si>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</si>
  <si>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</si>
  <si>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</si>
  <si>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</si>
  <si>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</si>
  <si>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</si>
  <si>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</si>
  <si>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</si>
  <si>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</si>
  <si>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</si>
  <si>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</si>
  <si>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</si>
  <si>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</si>
  <si>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</si>
  <si>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</si>
  <si>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</si>
  <si>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</si>
  <si>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</si>
  <si>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</si>
  <si>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</si>
  <si>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</si>
  <si>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</si>
  <si>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</si>
  <si>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</si>
  <si>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</si>
  <si>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</si>
  <si>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</si>
  <si>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</si>
  <si>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</si>
  <si>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</si>
  <si>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</si>
  <si>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</si>
  <si>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</si>
  <si>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</si>
  <si>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</si>
  <si>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</si>
  <si>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</si>
  <si>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</si>
  <si>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</si>
  <si>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</si>
  <si>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</si>
  <si>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</si>
  <si>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</si>
  <si>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</si>
  <si>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</si>
  <si>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</si>
  <si>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</si>
  <si>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</si>
  <si>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</si>
  <si>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</si>
  <si>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</si>
  <si>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</si>
  <si>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</si>
  <si>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</si>
  <si>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</si>
  <si>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</si>
  <si>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</si>
  <si>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</si>
  <si>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</si>
  <si>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</si>
  <si>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</si>
  <si>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</si>
  <si>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</si>
  <si>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</si>
  <si>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</si>
  <si>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</si>
  <si>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</si>
  <si>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</si>
  <si>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</si>
  <si>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</si>
  <si>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</si>
  <si>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</si>
  <si>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</si>
  <si>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</si>
  <si>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</si>
  <si>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</si>
  <si>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</si>
  <si>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</si>
  <si>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</si>
  <si>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</si>
  <si>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</si>
  <si>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</si>
  <si>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</si>
  <si>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</si>
  <si>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</si>
  <si>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</si>
  <si>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</si>
  <si>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</si>
  <si>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</si>
  <si>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</si>
  <si>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</si>
  <si>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</si>
  <si>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</si>
  <si>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</si>
  <si>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</si>
  <si>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</si>
  <si>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</si>
  <si>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</si>
  <si>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</si>
  <si>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</si>
  <si>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</si>
  <si>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</si>
  <si>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</si>
  <si>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</si>
  <si>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</si>
  <si>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</si>
  <si>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</si>
  <si>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</si>
  <si>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</si>
  <si>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</si>
  <si>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</si>
  <si>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</si>
  <si>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</si>
  <si>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</si>
  <si>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</si>
  <si>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</si>
  <si>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</si>
  <si>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</si>
  <si>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</si>
  <si>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</si>
  <si>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</si>
  <si>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</si>
  <si>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</si>
  <si>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</si>
  <si>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</si>
  <si>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</si>
  <si>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</si>
  <si>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</si>
  <si>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</si>
  <si>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</si>
  <si>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</si>
  <si>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</si>
  <si>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</si>
  <si>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</si>
  <si>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</si>
  <si>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</si>
  <si>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</si>
  <si>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</si>
  <si>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</si>
  <si>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</si>
  <si>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</si>
  <si>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</si>
  <si>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</si>
  <si>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</si>
  <si>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</si>
  <si>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</si>
  <si>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</si>
  <si>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</si>
  <si>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</si>
  <si>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</si>
  <si>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</si>
  <si>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</si>
  <si>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</si>
  <si>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</si>
  <si>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</si>
  <si>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</si>
  <si>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</si>
  <si>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</si>
  <si>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</si>
  <si>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</si>
  <si>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</si>
  <si>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</si>
  <si>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</si>
  <si>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</si>
  <si>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</si>
  <si>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</si>
  <si>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</si>
  <si>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</si>
  <si>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</si>
  <si>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</si>
  <si>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</si>
  <si>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</si>
  <si>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</si>
  <si>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</si>
  <si>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</si>
  <si>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</si>
  <si>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</si>
  <si>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</si>
  <si>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</si>
  <si>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</si>
  <si>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</si>
  <si>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</si>
  <si>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</si>
  <si>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</si>
  <si>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</si>
  <si>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</si>
  <si>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</si>
  <si>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</si>
  <si>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</si>
  <si>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</si>
  <si>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</si>
  <si>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</si>
  <si>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</si>
  <si>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</si>
  <si>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</si>
  <si>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</si>
  <si>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</si>
  <si>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</si>
  <si>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</si>
  <si>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</si>
  <si>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</si>
  <si>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</si>
  <si>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</si>
  <si>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</si>
  <si>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</si>
  <si>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</si>
  <si>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</si>
  <si>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</si>
  <si>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</si>
  <si>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</si>
  <si>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</si>
  <si>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</si>
  <si>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</si>
  <si>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</si>
  <si>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</si>
  <si>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</si>
  <si>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</si>
  <si>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</si>
  <si>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</si>
  <si>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</si>
  <si>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</si>
  <si>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</si>
  <si>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</si>
  <si>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</si>
  <si>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</si>
  <si>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</si>
  <si>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</si>
  <si>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</si>
  <si>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</si>
  <si>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</si>
  <si>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</si>
  <si>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</si>
  <si>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</si>
  <si>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</si>
  <si>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</si>
  <si>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</si>
  <si>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</si>
  <si>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</si>
  <si>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</si>
  <si>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</si>
  <si>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</si>
  <si>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</si>
  <si>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</si>
  <si>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</si>
  <si>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</si>
  <si>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</si>
  <si>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</si>
  <si>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</si>
  <si>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</si>
  <si>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</si>
  <si>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</si>
  <si>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</si>
  <si>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</si>
  <si>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</si>
  <si>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</si>
  <si>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</si>
  <si>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</si>
  <si>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</si>
  <si>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</si>
  <si>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</si>
  <si>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</si>
  <si>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</si>
  <si>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</si>
  <si>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</si>
  <si>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</si>
  <si>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</si>
  <si>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</si>
  <si>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</si>
  <si>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</si>
  <si>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</si>
  <si>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</si>
  <si>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</si>
  <si>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</si>
  <si>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</si>
  <si>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</si>
  <si>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</si>
  <si>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</si>
  <si>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</si>
  <si>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</si>
  <si>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</si>
  <si>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</si>
  <si>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</si>
  <si>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</si>
  <si>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</si>
  <si>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</si>
  <si>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</si>
  <si>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</si>
  <si>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</si>
  <si>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</si>
  <si>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</si>
  <si>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</si>
  <si>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</si>
  <si>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</si>
  <si>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</si>
  <si>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</si>
  <si>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</si>
  <si>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</si>
  <si>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</si>
  <si>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</si>
  <si>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</si>
  <si>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</si>
  <si>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</si>
  <si>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</si>
  <si>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</si>
  <si>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</si>
  <si>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</si>
  <si>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</si>
  <si>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</si>
  <si>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</si>
  <si>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</si>
  <si>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</si>
  <si>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</si>
  <si>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</si>
  <si>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</si>
  <si>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</si>
  <si>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</si>
  <si>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</si>
  <si>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</si>
  <si>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</si>
  <si>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</si>
  <si>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</si>
  <si>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</si>
  <si>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</si>
  <si>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</si>
  <si>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</si>
  <si>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</si>
  <si>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</si>
  <si>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</si>
  <si>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</si>
  <si>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</si>
  <si>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</si>
  <si>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</si>
  <si>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</si>
  <si>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</si>
  <si>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</si>
  <si>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</si>
  <si>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</si>
  <si>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</si>
  <si>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</si>
  <si>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</si>
  <si>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</si>
  <si>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</si>
  <si>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</si>
  <si>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</si>
  <si>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</si>
  <si>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</si>
  <si>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</si>
  <si>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</si>
  <si>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</si>
  <si>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</si>
  <si>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</si>
  <si>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</si>
  <si>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</si>
  <si>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</si>
  <si>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</si>
  <si>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</si>
  <si>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</si>
  <si>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</si>
  <si>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</si>
  <si>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</si>
  <si>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</si>
  <si>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</si>
  <si>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</si>
  <si>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</si>
  <si>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</si>
  <si>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</si>
  <si>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</si>
  <si>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</si>
  <si>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</si>
  <si>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</si>
  <si>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</si>
  <si>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</si>
  <si>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</si>
  <si>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</si>
  <si>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</si>
  <si>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</si>
  <si>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</si>
  <si>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</si>
  <si>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</si>
  <si>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</si>
  <si>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</si>
  <si>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</si>
  <si>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</si>
  <si>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</si>
  <si>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</si>
  <si>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</si>
  <si>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</si>
  <si>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</si>
  <si>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</si>
  <si>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</si>
  <si>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</si>
  <si>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</si>
  <si>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</si>
  <si>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</si>
  <si>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</si>
  <si>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</si>
  <si>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</si>
  <si>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</si>
  <si>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</si>
  <si>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</si>
  <si>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</si>
  <si>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</si>
  <si>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</si>
  <si>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</si>
  <si>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</si>
  <si>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</si>
  <si>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</si>
  <si>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</si>
  <si>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</si>
  <si>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</si>
  <si>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</si>
  <si>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</si>
  <si>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</si>
  <si>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</si>
  <si>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</si>
  <si>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</si>
  <si>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</si>
  <si>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</si>
  <si>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</si>
  <si>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</si>
  <si>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</si>
  <si>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</si>
  <si>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</si>
  <si>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</si>
  <si>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</si>
  <si>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</si>
  <si>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</si>
  <si>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</si>
  <si>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</si>
  <si>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</si>
  <si>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</si>
  <si>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</si>
  <si>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</si>
  <si>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</si>
  <si>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</si>
  <si>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</si>
  <si>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</si>
  <si>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</si>
  <si>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</si>
  <si>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</si>
  <si>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</si>
  <si>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</si>
  <si>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</si>
  <si>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</si>
  <si>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</si>
  <si>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</si>
  <si>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</si>
  <si>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</si>
  <si>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</si>
  <si>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</si>
  <si>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</si>
  <si>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</si>
  <si>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</si>
  <si>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</si>
  <si>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</si>
  <si>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</si>
  <si>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</si>
  <si>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</si>
  <si>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</si>
  <si>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</si>
  <si>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</si>
  <si>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</si>
  <si>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</si>
  <si>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</si>
  <si>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</si>
  <si>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</si>
  <si>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</si>
  <si>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</si>
  <si>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</si>
  <si>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</si>
  <si>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</si>
  <si>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</si>
  <si>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</si>
  <si>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</si>
  <si>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</si>
  <si>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</si>
  <si>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</si>
  <si>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</si>
  <si>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</si>
  <si>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</si>
  <si>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</si>
  <si>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</si>
  <si>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</si>
  <si>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</si>
  <si>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</si>
  <si>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</si>
  <si>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</si>
  <si>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</si>
  <si>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</si>
  <si>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</si>
  <si>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</si>
  <si>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</si>
  <si>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</si>
  <si>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</si>
  <si>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</si>
  <si>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</si>
  <si>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</si>
  <si>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</si>
  <si>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</si>
  <si>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</si>
  <si>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</si>
  <si>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</si>
  <si>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</si>
  <si>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</si>
  <si>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</si>
  <si>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</si>
  <si>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</si>
  <si>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</si>
  <si>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</si>
  <si>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</si>
  <si>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</si>
  <si>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</si>
  <si>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</si>
  <si>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</si>
  <si>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</si>
  <si>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</si>
  <si>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</si>
  <si>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</si>
  <si>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</si>
  <si>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</si>
  <si>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</si>
  <si>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</si>
  <si>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</si>
  <si>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</si>
  <si>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</si>
  <si>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</si>
  <si>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</si>
  <si>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</si>
  <si>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</si>
  <si>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</si>
  <si>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</si>
  <si>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</si>
  <si>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</si>
  <si>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</si>
  <si>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</si>
  <si>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</si>
  <si>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</si>
  <si>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</si>
  <si>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</si>
  <si>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</si>
  <si>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</si>
  <si>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</si>
  <si>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</si>
  <si>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</si>
  <si>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</si>
  <si>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</si>
  <si>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</si>
  <si>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</si>
  <si>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</si>
  <si>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</si>
  <si>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</si>
  <si>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</si>
  <si>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</si>
  <si>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</si>
  <si>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</si>
  <si>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</si>
  <si>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</si>
  <si>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</si>
  <si>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</si>
  <si>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</si>
  <si>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</si>
  <si>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</si>
  <si>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</si>
  <si>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</si>
  <si>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</si>
  <si>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</si>
  <si>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</si>
  <si>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</si>
  <si>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</si>
  <si>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</si>
  <si>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</si>
  <si>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</si>
  <si>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</si>
  <si>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</si>
  <si>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</si>
  <si>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</si>
  <si>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</si>
  <si>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</si>
  <si>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</si>
  <si>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</si>
  <si>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</si>
  <si>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</si>
  <si>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</si>
  <si>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</si>
  <si>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</si>
  <si>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</si>
  <si>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</si>
  <si>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</si>
  <si>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</si>
  <si>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</si>
  <si>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</si>
  <si>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</si>
  <si>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</si>
  <si>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</si>
  <si>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</si>
  <si>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</si>
  <si>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</si>
  <si>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</si>
  <si>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</si>
  <si>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</si>
  <si>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</si>
  <si>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</si>
  <si>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</si>
  <si>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</si>
  <si>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</si>
  <si>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</si>
  <si>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</si>
  <si>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</si>
  <si>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</si>
  <si>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</si>
  <si>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</si>
  <si>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</si>
  <si>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</si>
  <si>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</si>
  <si>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</si>
  <si>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</si>
  <si>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</si>
  <si>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</si>
  <si>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</si>
  <si>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</si>
  <si>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</si>
  <si>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</si>
  <si>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</si>
  <si>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</si>
  <si>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</si>
  <si>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</si>
  <si>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</si>
  <si>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</si>
  <si>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</si>
  <si>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</si>
  <si>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</si>
  <si>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</si>
  <si>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</si>
  <si>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</si>
  <si>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</si>
  <si>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</si>
  <si>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</si>
  <si>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</si>
  <si>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</si>
  <si>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</si>
  <si>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</si>
  <si>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</si>
  <si>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</si>
  <si>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</si>
  <si>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</si>
  <si>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</si>
  <si>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</si>
  <si>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</si>
  <si>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</si>
  <si>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</si>
  <si>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</si>
  <si>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</si>
  <si>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</si>
  <si>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</si>
  <si>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</si>
  <si>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</si>
  <si>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</si>
  <si>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</si>
  <si>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</si>
  <si>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</si>
  <si>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</si>
  <si>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</si>
  <si>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</si>
  <si>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</si>
  <si>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</si>
  <si>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</si>
  <si>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</si>
  <si>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</si>
  <si>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</si>
  <si>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</si>
  <si>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</si>
  <si>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</si>
  <si>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</si>
  <si>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</si>
  <si>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</si>
  <si>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</si>
  <si>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</si>
  <si>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</si>
  <si>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</si>
  <si>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</si>
  <si>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</si>
  <si>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</si>
  <si>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</si>
  <si>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</si>
  <si>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</si>
  <si>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</si>
  <si>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</si>
  <si>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</si>
  <si>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</si>
  <si>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</si>
  <si>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</si>
  <si>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</si>
  <si>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</si>
  <si>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</si>
  <si>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</si>
  <si>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</si>
  <si>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</si>
  <si>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</si>
  <si>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</si>
  <si>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</si>
  <si>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</si>
  <si>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</si>
  <si>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</si>
  <si>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</si>
  <si>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</si>
  <si>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</si>
  <si>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</si>
  <si>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</si>
  <si>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</si>
  <si>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</si>
  <si>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</si>
  <si>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</si>
  <si>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</si>
  <si>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</si>
  <si>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</si>
  <si>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</si>
  <si>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</si>
  <si>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</si>
  <si>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</si>
  <si>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</si>
  <si>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</si>
  <si>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</si>
  <si>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</si>
  <si>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</si>
  <si>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</si>
  <si>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</si>
  <si>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</si>
  <si>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</si>
  <si>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</si>
  <si>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</si>
  <si>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</si>
  <si>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</si>
  <si>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</si>
  <si>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</si>
  <si>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</si>
  <si>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</si>
  <si>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</si>
  <si>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</si>
  <si>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</si>
  <si>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</si>
  <si>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</si>
  <si>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</si>
  <si>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</si>
  <si>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</si>
  <si>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</si>
  <si>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</si>
  <si>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</si>
  <si>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</si>
  <si>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</si>
  <si>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</si>
  <si>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</si>
  <si>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</si>
  <si>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</si>
  <si>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</si>
  <si>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</si>
  <si>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</si>
  <si>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</si>
  <si>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</si>
  <si>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</si>
  <si>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</si>
  <si>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</si>
  <si>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</si>
  <si>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</si>
  <si>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</si>
  <si>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</si>
  <si>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</si>
  <si>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</si>
  <si>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</si>
  <si>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</si>
  <si>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</si>
  <si>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</si>
  <si>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</si>
  <si>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</si>
  <si>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</si>
  <si>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</si>
  <si>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</si>
  <si>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</si>
  <si>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</si>
  <si>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</si>
  <si>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</si>
  <si>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</si>
  <si>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</si>
  <si>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</si>
  <si>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</si>
  <si>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</si>
  <si>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</si>
  <si>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</si>
  <si>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</si>
  <si>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</si>
  <si>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</si>
  <si>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</si>
  <si>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</si>
  <si>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</si>
  <si>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</si>
  <si>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</si>
  <si>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</si>
  <si>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</si>
  <si>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</si>
  <si>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</si>
  <si>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</si>
  <si>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</si>
  <si>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</si>
  <si>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</si>
  <si>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</si>
  <si>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</si>
  <si>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</si>
  <si>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</si>
  <si>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</si>
  <si>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</si>
  <si>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</si>
  <si>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</si>
  <si>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</si>
  <si>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</si>
  <si>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</si>
  <si>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</si>
  <si>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</si>
  <si>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</si>
  <si>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</si>
  <si>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</si>
  <si>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</si>
  <si>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</si>
  <si>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</si>
  <si>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</si>
  <si>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</si>
  <si>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</si>
  <si>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</si>
  <si>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</si>
  <si>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</si>
  <si>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</si>
  <si>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</si>
  <si>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</si>
  <si>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</si>
  <si>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</si>
  <si>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</si>
  <si>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</si>
  <si>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</si>
  <si>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</si>
  <si>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</si>
  <si>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</si>
  <si>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</si>
  <si>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</si>
  <si>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</si>
  <si>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</si>
  <si>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</si>
  <si>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</si>
  <si>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</si>
  <si>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</si>
  <si>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</si>
  <si>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</si>
  <si>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</si>
  <si>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</si>
  <si>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</si>
  <si>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</si>
  <si>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</si>
  <si>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</si>
  <si>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</si>
  <si>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</si>
  <si>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</si>
  <si>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</si>
  <si>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</si>
  <si>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</si>
  <si>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</si>
  <si>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</si>
  <si>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</si>
  <si>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</si>
  <si>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</si>
  <si>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</si>
  <si>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</si>
  <si>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</si>
  <si>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</si>
  <si>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</si>
  <si>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</si>
  <si>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</si>
  <si>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</si>
  <si>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</si>
  <si>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</si>
  <si>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</si>
  <si>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</si>
  <si>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</si>
  <si>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</si>
  <si>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</si>
  <si>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</si>
  <si>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</si>
  <si>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</si>
  <si>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</si>
  <si>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</si>
  <si>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</si>
  <si>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</si>
  <si>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</si>
  <si>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</si>
  <si>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</si>
  <si>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</si>
  <si>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</si>
  <si>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</si>
  <si>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</si>
  <si>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</si>
  <si>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</si>
  <si>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</si>
  <si>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</si>
  <si>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</si>
  <si>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</si>
  <si>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</si>
  <si>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</si>
  <si>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</si>
  <si>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</si>
  <si>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</si>
  <si>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</si>
  <si>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</si>
  <si>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</si>
  <si>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</si>
  <si>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</si>
  <si>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</si>
  <si>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</si>
  <si>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</si>
  <si>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</si>
  <si>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</si>
  <si>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</si>
  <si>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</si>
  <si>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</si>
  <si>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</si>
  <si>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</si>
  <si>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</si>
  <si>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</si>
  <si>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</si>
  <si>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</si>
  <si>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</si>
  <si>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</si>
  <si>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</si>
  <si>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</si>
  <si>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</si>
  <si>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</si>
  <si>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</si>
  <si>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</si>
  <si>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</si>
  <si>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</si>
  <si>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</si>
  <si>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</si>
  <si>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</si>
  <si>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</si>
  <si>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</si>
  <si>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</si>
  <si>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</si>
  <si>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</si>
  <si>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</si>
  <si>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</si>
  <si>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</si>
  <si>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</si>
  <si>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</si>
  <si>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</si>
  <si>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</si>
  <si>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</si>
  <si>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</si>
  <si>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</si>
  <si>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</si>
  <si>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</si>
  <si>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</si>
  <si>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</si>
  <si>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</si>
  <si>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</si>
  <si>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</si>
  <si>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</si>
  <si>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</si>
  <si>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</si>
  <si>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</si>
  <si>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</si>
  <si>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</si>
  <si>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</si>
  <si>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</si>
  <si>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</si>
  <si>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</si>
  <si>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</si>
  <si>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</si>
  <si>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</si>
  <si>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</si>
  <si>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</si>
  <si>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</si>
  <si>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</si>
  <si>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</si>
  <si>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</si>
  <si>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</si>
  <si>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</si>
  <si>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</si>
  <si>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</si>
  <si>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</si>
  <si>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</si>
  <si>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</si>
  <si>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</si>
  <si>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</si>
  <si>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</si>
  <si>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</si>
  <si>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</si>
  <si>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</si>
  <si>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</si>
  <si>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</si>
  <si>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</si>
  <si>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</si>
  <si>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</si>
  <si>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</si>
  <si>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</si>
  <si>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</si>
  <si>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</si>
  <si>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</si>
  <si>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</si>
  <si>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</si>
  <si>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</si>
  <si>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</si>
  <si>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</si>
  <si>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</si>
  <si>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</si>
  <si>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</si>
  <si>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</si>
  <si>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</si>
  <si>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</si>
  <si>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</si>
  <si>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</si>
  <si>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</si>
  <si>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</si>
  <si>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</si>
  <si>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</si>
  <si>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</si>
  <si>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</si>
  <si>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</si>
  <si>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</si>
  <si>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</si>
  <si>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</si>
  <si>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</si>
  <si>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</si>
  <si>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</si>
  <si>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</si>
  <si>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</si>
  <si>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</si>
  <si>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</si>
  <si>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</si>
  <si>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</si>
  <si>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</si>
  <si>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</si>
  <si>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</si>
  <si>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</si>
  <si>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</si>
  <si>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</si>
  <si>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</si>
  <si>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</si>
  <si>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</si>
  <si>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</si>
  <si>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</si>
  <si>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</si>
  <si>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</si>
  <si>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</si>
  <si>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</si>
  <si>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</si>
  <si>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</si>
  <si>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</si>
  <si>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</si>
  <si>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</si>
  <si>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</si>
  <si>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</si>
  <si>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</si>
  <si>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</si>
  <si>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</si>
  <si>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</si>
  <si>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</si>
  <si>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</si>
  <si>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</si>
  <si>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</si>
  <si>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</si>
  <si>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</si>
  <si>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</si>
  <si>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</si>
  <si>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</si>
  <si>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</si>
  <si>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</si>
  <si>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</si>
  <si>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</si>
  <si>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</si>
  <si>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</si>
  <si>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</si>
  <si>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</si>
  <si>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</si>
  <si>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</si>
  <si>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</si>
  <si>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</si>
  <si>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</si>
  <si>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</si>
  <si>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</si>
  <si>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</si>
  <si>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</si>
  <si>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</si>
  <si>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</si>
  <si>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</si>
  <si>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</si>
  <si>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</si>
  <si>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</si>
  <si>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</si>
  <si>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</si>
  <si>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</si>
  <si>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</si>
  <si>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</si>
  <si>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</si>
  <si>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</si>
  <si>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</si>
  <si>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</si>
  <si>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</si>
  <si>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</si>
  <si>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</si>
  <si>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</si>
  <si>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</si>
  <si>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</si>
  <si>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</si>
  <si>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</si>
  <si>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</si>
  <si>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</si>
  <si>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</si>
  <si>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</si>
  <si>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</si>
  <si>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</si>
  <si>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</si>
  <si>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</si>
  <si>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</si>
  <si>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</si>
  <si>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</si>
  <si>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</si>
  <si>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</si>
  <si>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</si>
  <si>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</si>
  <si>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</si>
  <si>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</si>
  <si>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</si>
  <si>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</si>
  <si>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</si>
  <si>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</si>
  <si>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</si>
  <si>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</si>
  <si>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</si>
  <si>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</si>
  <si>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</si>
  <si>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</si>
  <si>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</si>
  <si>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</si>
  <si>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</si>
  <si>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</si>
  <si>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</si>
  <si>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</si>
  <si>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</si>
  <si>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</si>
  <si>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</si>
  <si>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</si>
  <si>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</si>
  <si>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</si>
  <si>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</si>
  <si>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</si>
  <si>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</si>
  <si>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</si>
  <si>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</si>
  <si>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</si>
  <si>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</si>
  <si>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</si>
  <si>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</si>
  <si>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</si>
  <si>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</si>
  <si>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</si>
  <si>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</si>
  <si>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</si>
  <si>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</si>
  <si>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</si>
  <si>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</si>
  <si>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</si>
  <si>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</si>
  <si>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</si>
  <si>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</si>
  <si>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</si>
  <si>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</si>
  <si>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</si>
  <si>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</si>
  <si>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</si>
  <si>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</si>
  <si>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</si>
  <si>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</si>
  <si>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</si>
  <si>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</si>
  <si>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</si>
  <si>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</si>
  <si>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</si>
  <si>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</si>
  <si>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</si>
  <si>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</si>
  <si>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</si>
  <si>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</si>
  <si>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</si>
  <si>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</si>
  <si>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</si>
  <si>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</si>
  <si>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</si>
  <si>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</si>
  <si>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</si>
  <si>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</si>
  <si>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</si>
  <si>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</si>
  <si>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</si>
  <si>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</si>
  <si>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</si>
  <si>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</si>
  <si>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</si>
  <si>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</si>
  <si>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</si>
  <si>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</si>
  <si>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</si>
  <si>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</si>
  <si>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</si>
  <si>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</si>
  <si>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</si>
  <si>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</si>
  <si>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</si>
  <si>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</si>
  <si>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</si>
  <si>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</si>
  <si>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</si>
  <si>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</si>
  <si>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</si>
  <si>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</si>
  <si>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</si>
  <si>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</si>
  <si>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</si>
  <si>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</si>
  <si>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</si>
  <si>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</si>
  <si>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</si>
  <si>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</si>
  <si>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</si>
  <si>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</si>
  <si>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</si>
  <si>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</si>
  <si>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</si>
  <si>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</si>
  <si>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</si>
  <si>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</si>
  <si>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</si>
  <si>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</si>
  <si>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</si>
  <si>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</si>
  <si>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</si>
  <si>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</si>
  <si>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</si>
  <si>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</si>
  <si>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</si>
  <si>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</si>
  <si>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</si>
  <si>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</si>
  <si>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</si>
  <si>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</si>
  <si>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</si>
  <si>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</si>
  <si>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</si>
  <si>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</si>
  <si>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</si>
  <si>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</si>
  <si>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</si>
  <si>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</si>
  <si>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</si>
  <si>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</si>
  <si>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</si>
  <si>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</si>
  <si>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</si>
  <si>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</si>
  <si>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</si>
  <si>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</si>
  <si>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</si>
  <si>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</si>
  <si>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</si>
  <si>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</si>
  <si>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</si>
  <si>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</si>
  <si>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</si>
  <si>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</si>
  <si>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</si>
  <si>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</si>
  <si>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</si>
  <si>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</si>
  <si>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</si>
  <si>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</si>
  <si>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</si>
  <si>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</si>
  <si>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</si>
  <si>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</si>
  <si>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</si>
  <si>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</si>
  <si>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</si>
  <si>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</si>
  <si>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</si>
  <si>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</si>
  <si>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</si>
  <si>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</si>
  <si>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</si>
  <si>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</si>
  <si>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</si>
  <si>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</si>
  <si>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</si>
  <si>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</si>
  <si>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</si>
  <si>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</si>
  <si>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</si>
  <si>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</si>
  <si>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</si>
  <si>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</si>
  <si>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</si>
  <si>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</si>
  <si>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</si>
  <si>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</si>
  <si>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</si>
  <si>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</si>
  <si>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</si>
  <si>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</si>
  <si>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</si>
  <si>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</si>
  <si>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</si>
  <si>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</si>
  <si>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</si>
  <si>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</si>
  <si>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</si>
  <si>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</si>
  <si>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</si>
  <si>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</si>
  <si>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</si>
  <si>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</si>
  <si>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</si>
  <si>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</si>
  <si>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</si>
  <si>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</si>
  <si>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</si>
  <si>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</si>
  <si>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</si>
  <si>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</si>
  <si>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</si>
  <si>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</si>
  <si>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</si>
  <si>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</si>
  <si>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</si>
  <si>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</si>
  <si>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</si>
  <si>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</si>
  <si>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</si>
  <si>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</si>
  <si>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</si>
  <si>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</si>
  <si>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</si>
  <si>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</si>
  <si>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</si>
  <si>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</si>
  <si>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</si>
  <si>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</si>
  <si>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</si>
  <si>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</si>
  <si>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</si>
  <si>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</si>
  <si>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</si>
  <si>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</si>
  <si>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</si>
  <si>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</si>
  <si>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</si>
  <si>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</si>
  <si>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</si>
  <si>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</si>
  <si>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</si>
  <si>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</si>
  <si>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</si>
  <si>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</si>
  <si>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</si>
  <si>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</si>
  <si>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</si>
  <si>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</si>
  <si>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</si>
  <si>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</si>
  <si>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</si>
  <si>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</si>
  <si>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</si>
  <si>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</si>
  <si>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</si>
  <si>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</si>
  <si>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</si>
  <si>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</si>
  <si>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</si>
  <si>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</si>
  <si>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</si>
  <si>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</si>
  <si>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</si>
  <si>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</si>
  <si>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</si>
  <si>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</si>
  <si>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</si>
  <si>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</si>
  <si>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</si>
  <si>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</si>
  <si>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</si>
  <si>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</si>
  <si>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</si>
  <si>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</si>
  <si>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</si>
  <si>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</si>
  <si>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</si>
  <si>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</si>
  <si>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</si>
  <si>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</si>
  <si>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</si>
  <si>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</si>
  <si>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</si>
  <si>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</si>
  <si>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</si>
  <si>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</si>
  <si>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</si>
  <si>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</si>
  <si>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</si>
  <si>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</si>
  <si>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</si>
  <si>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</si>
  <si>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</si>
  <si>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</si>
  <si>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</si>
  <si>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</si>
  <si>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</si>
  <si>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</si>
  <si>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</si>
  <si>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</si>
  <si>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</si>
  <si>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</si>
  <si>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</si>
  <si>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</si>
  <si>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</si>
  <si>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</si>
  <si>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</si>
  <si>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</si>
  <si>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</si>
  <si>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</si>
  <si>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</si>
  <si>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</si>
  <si>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</si>
  <si>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</si>
  <si>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</si>
  <si>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</si>
  <si>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</si>
  <si>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</si>
  <si>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</si>
  <si>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</si>
  <si>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</si>
  <si>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</si>
  <si>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</si>
  <si>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</si>
  <si>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</si>
  <si>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</si>
  <si>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</si>
  <si>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</si>
  <si>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</si>
  <si>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</si>
  <si>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</si>
  <si>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</si>
  <si>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</si>
  <si>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</si>
  <si>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</si>
  <si>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</si>
  <si>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</si>
  <si>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</si>
  <si>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</si>
  <si>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</si>
  <si>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</si>
  <si>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</si>
  <si>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</si>
  <si>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</si>
  <si>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</si>
  <si>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</si>
  <si>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</si>
  <si>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</si>
  <si>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</si>
  <si>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</si>
  <si>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</si>
  <si>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</si>
  <si>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</si>
  <si>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</si>
  <si>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</si>
  <si>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</si>
  <si>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</si>
  <si>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</si>
  <si>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</si>
  <si>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</si>
  <si>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</si>
  <si>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</si>
  <si>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</si>
  <si>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</si>
  <si>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</si>
  <si>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</si>
  <si>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</si>
  <si>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</si>
  <si>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</si>
  <si>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</si>
  <si>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</si>
  <si>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</si>
  <si>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</si>
  <si>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</si>
  <si>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</si>
  <si>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</si>
  <si>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</si>
  <si>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</si>
  <si>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</si>
  <si>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</si>
  <si>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</si>
  <si>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</si>
  <si>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</si>
  <si>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</si>
  <si>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</si>
  <si>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</si>
  <si>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</si>
  <si>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</si>
  <si>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</si>
  <si>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</si>
  <si>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</si>
  <si>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</si>
  <si>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</si>
  <si>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</si>
  <si>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</si>
  <si>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</si>
  <si>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</si>
  <si>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</si>
  <si>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</si>
  <si>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</si>
  <si>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</si>
  <si>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</si>
  <si>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</si>
  <si>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</si>
  <si>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</si>
  <si>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</si>
  <si>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</si>
  <si>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</si>
  <si>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</si>
  <si>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</si>
  <si>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</si>
  <si>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</si>
  <si>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</si>
  <si>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</si>
  <si>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</si>
  <si>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</si>
  <si>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</si>
  <si>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</si>
  <si>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</si>
  <si>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</si>
  <si>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</si>
  <si>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</si>
  <si>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</si>
  <si>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</si>
  <si>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</si>
  <si>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</si>
  <si>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</si>
  <si>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</si>
  <si>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</si>
  <si>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</si>
  <si>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</si>
  <si>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</si>
  <si>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</si>
  <si>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</si>
  <si>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</si>
  <si>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</si>
  <si>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</si>
  <si>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</si>
  <si>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</si>
  <si>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</si>
  <si>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</si>
  <si>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</si>
  <si>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</si>
  <si>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</si>
  <si>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</si>
  <si>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</si>
  <si>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</si>
  <si>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</si>
  <si>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</si>
  <si>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</si>
  <si>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</si>
  <si>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</si>
  <si>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</si>
  <si>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</si>
  <si>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</si>
  <si>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</si>
  <si>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</si>
  <si>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</si>
  <si>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</si>
  <si>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</si>
  <si>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</si>
  <si>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</si>
  <si>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</si>
  <si>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</si>
  <si>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</si>
  <si>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</si>
  <si>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</si>
  <si>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</si>
  <si>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</si>
  <si>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</si>
  <si>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</si>
  <si>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</si>
  <si>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</si>
  <si>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</si>
  <si>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</si>
  <si>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</si>
  <si>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</si>
  <si>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</si>
  <si>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</si>
  <si>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</si>
  <si>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</si>
  <si>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</si>
  <si>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</si>
  <si>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</si>
  <si>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</si>
  <si>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</si>
  <si>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</si>
  <si>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</si>
  <si>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</si>
  <si>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</si>
  <si>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</si>
  <si>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</si>
  <si>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</si>
  <si>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</si>
  <si>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</si>
  <si>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</si>
  <si>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</si>
  <si>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</si>
  <si>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</si>
  <si>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</si>
  <si>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</si>
  <si>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</si>
  <si>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</si>
  <si>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</si>
  <si>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</si>
  <si>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</si>
  <si>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</si>
  <si>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</si>
  <si>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</si>
  <si>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</si>
  <si>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</si>
  <si>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</si>
  <si>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</si>
  <si>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</si>
  <si>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</si>
  <si>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</si>
  <si>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</si>
  <si>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</si>
  <si>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</si>
  <si>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</si>
  <si>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</si>
  <si>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</si>
  <si>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</si>
  <si>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</si>
  <si>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</si>
  <si>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</si>
  <si>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</si>
  <si>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</si>
  <si>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</si>
  <si>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</si>
  <si>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</si>
  <si>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</si>
  <si>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</si>
  <si>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</si>
  <si>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</si>
  <si>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</si>
  <si>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</si>
  <si>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</si>
  <si>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</si>
  <si>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</si>
  <si>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</si>
  <si>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</si>
  <si>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</si>
  <si>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</si>
  <si>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</si>
  <si>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</si>
  <si>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</si>
  <si>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</si>
  <si>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</si>
  <si>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</si>
  <si>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</si>
  <si>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</si>
  <si>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</si>
  <si>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</si>
  <si>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</si>
  <si>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</si>
  <si>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</si>
  <si>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</si>
  <si>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</si>
  <si>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</si>
  <si>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</si>
  <si>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</si>
  <si>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</si>
  <si>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</si>
  <si>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</si>
  <si>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</si>
  <si>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</si>
  <si>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</si>
  <si>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</si>
  <si>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</si>
  <si>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</si>
  <si>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</si>
  <si>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</si>
  <si>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</si>
  <si>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</si>
  <si>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</si>
  <si>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</si>
  <si>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</si>
  <si>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</si>
  <si>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</si>
  <si>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</si>
  <si>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</si>
  <si>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</si>
  <si>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</si>
  <si>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</si>
  <si>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</si>
  <si>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</si>
  <si>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</si>
  <si>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</si>
  <si>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</si>
  <si>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</si>
  <si>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</si>
  <si>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</si>
  <si>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</si>
  <si>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</si>
  <si>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</si>
  <si>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</si>
  <si>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</si>
  <si>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</si>
  <si>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</si>
  <si>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</si>
  <si>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</si>
  <si>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</si>
  <si>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</si>
  <si>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</si>
  <si>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</si>
  <si>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</si>
  <si>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</si>
  <si>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</si>
  <si>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</si>
  <si>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</si>
  <si>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</si>
  <si>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</si>
  <si>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</si>
  <si>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</si>
  <si>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</si>
  <si>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</si>
  <si>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</si>
  <si>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</si>
  <si>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</si>
  <si>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</si>
  <si>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</si>
  <si>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</si>
  <si>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</si>
  <si>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</si>
  <si>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</si>
  <si>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</si>
  <si>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</si>
  <si>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</si>
  <si>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</si>
  <si>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</si>
  <si>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</si>
  <si>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</si>
  <si>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</si>
  <si>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</si>
  <si>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</si>
  <si>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</si>
  <si>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</si>
  <si>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</si>
  <si>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</si>
  <si>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</si>
  <si>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</si>
  <si>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</si>
  <si>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</si>
  <si>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</si>
  <si>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</si>
  <si>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</si>
  <si>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</si>
  <si>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</si>
  <si>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</si>
  <si>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</si>
  <si>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</si>
  <si>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</si>
  <si>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</si>
  <si>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</si>
  <si>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</si>
  <si>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</si>
  <si>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</si>
  <si>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</si>
  <si>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</si>
  <si>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</si>
  <si>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</si>
  <si>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</si>
  <si>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</si>
  <si>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</si>
  <si>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</si>
  <si>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</si>
  <si>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</si>
  <si>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</si>
  <si>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</si>
  <si>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</si>
  <si>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</si>
  <si>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</si>
  <si>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</si>
  <si>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</si>
  <si>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</si>
  <si>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</si>
  <si>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</si>
  <si>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</si>
  <si>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</si>
  <si>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</si>
  <si>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</si>
  <si>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</si>
  <si>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</si>
  <si>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</si>
  <si>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</si>
  <si>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</si>
  <si>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</si>
  <si>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</si>
  <si>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</si>
  <si>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</si>
  <si>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</si>
  <si>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</si>
  <si>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</si>
  <si>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</si>
  <si>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</si>
  <si>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</si>
  <si>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</si>
  <si>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</si>
  <si>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</si>
  <si>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</si>
  <si>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</si>
  <si>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</si>
  <si>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</si>
  <si>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</si>
  <si>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</si>
  <si>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</si>
  <si>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</si>
  <si>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</si>
  <si>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</si>
  <si>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</si>
  <si>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</si>
  <si>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</si>
  <si>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</si>
  <si>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</si>
  <si>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</si>
  <si>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</si>
  <si>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</si>
  <si>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</si>
  <si>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</si>
  <si>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</si>
  <si>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</si>
  <si>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</si>
  <si>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</si>
  <si>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</si>
  <si>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</si>
  <si>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</si>
  <si>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</si>
  <si>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</si>
  <si>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</si>
  <si>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</si>
  <si>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</si>
  <si>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</si>
  <si>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</si>
  <si>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</si>
  <si>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</si>
  <si>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</si>
  <si>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</si>
  <si>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</si>
  <si>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</si>
  <si>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</si>
  <si>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</si>
  <si>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</si>
  <si>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</si>
  <si>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</si>
  <si>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</si>
  <si>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</si>
  <si>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</si>
  <si>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</si>
  <si>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</si>
  <si>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</si>
  <si>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</si>
  <si>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</si>
  <si>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</si>
  <si>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</si>
  <si>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</si>
  <si>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</si>
  <si>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</si>
  <si>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</si>
  <si>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</si>
  <si>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</si>
  <si>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</si>
  <si>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</si>
  <si>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</si>
  <si>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</si>
  <si>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</si>
  <si>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</si>
  <si>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</si>
  <si>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</si>
  <si>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</si>
  <si>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</si>
  <si>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</si>
  <si>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</si>
  <si>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</si>
  <si>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</si>
  <si>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</si>
  <si>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</si>
  <si>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</si>
  <si>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</si>
  <si>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</si>
  <si>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</si>
  <si>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</si>
  <si>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</si>
  <si>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</si>
  <si>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</si>
  <si>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</si>
  <si>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</si>
  <si>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</si>
  <si>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</si>
  <si>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</si>
  <si>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</si>
  <si>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</si>
  <si>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</si>
  <si>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</si>
  <si>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</si>
  <si>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</si>
  <si>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</si>
  <si>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</si>
  <si>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</si>
  <si>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</si>
  <si>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</si>
  <si>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</si>
  <si>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</si>
  <si>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</si>
  <si>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</si>
  <si>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</si>
  <si>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</si>
  <si>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</si>
  <si>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</si>
  <si>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</si>
  <si>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</si>
  <si>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</si>
  <si>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</si>
  <si>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</si>
  <si>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</si>
  <si>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</si>
  <si>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</si>
  <si>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</si>
  <si>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</si>
  <si>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</si>
  <si>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</si>
  <si>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</si>
  <si>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</si>
  <si>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</si>
  <si>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</si>
  <si>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</si>
  <si>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</si>
  <si>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</si>
  <si>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</si>
  <si>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</si>
  <si>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</si>
  <si>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</si>
  <si>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</si>
  <si>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</si>
  <si>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</si>
  <si>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</si>
  <si>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</si>
  <si>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</si>
  <si>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</si>
  <si>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</si>
  <si>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</si>
  <si>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</si>
  <si>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</si>
  <si>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</si>
  <si>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</si>
  <si>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</si>
  <si>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</si>
  <si>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</si>
  <si>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</si>
  <si>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</si>
  <si>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</si>
  <si>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</si>
  <si>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</si>
  <si>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</si>
  <si>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</si>
  <si>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</si>
  <si>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</si>
  <si>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</si>
  <si>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</si>
  <si>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</si>
  <si>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</si>
  <si>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</si>
  <si>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</si>
  <si>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</si>
  <si>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</si>
  <si>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</si>
  <si>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</si>
  <si>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</si>
  <si>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</si>
  <si>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</si>
  <si>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</si>
  <si>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</si>
  <si>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</si>
  <si>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</si>
  <si>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</si>
  <si>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</si>
  <si>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</si>
  <si>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</si>
  <si>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</si>
  <si>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</si>
  <si>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</si>
  <si>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</si>
  <si>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</si>
  <si>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</si>
  <si>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</si>
  <si>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</si>
  <si>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</si>
  <si>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</si>
  <si>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</si>
  <si>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</si>
  <si>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</si>
  <si>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</si>
  <si>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</si>
  <si>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</si>
  <si>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</si>
  <si>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</si>
  <si>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</si>
  <si>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</si>
  <si>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</si>
  <si>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</si>
  <si>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</si>
  <si>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</si>
  <si>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</si>
  <si>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</si>
  <si>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</si>
  <si>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</si>
  <si>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</si>
  <si>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</si>
  <si>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</si>
  <si>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</si>
  <si>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</si>
  <si>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</si>
  <si>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</si>
  <si>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</si>
  <si>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</si>
  <si>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</si>
  <si>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</si>
  <si>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</si>
  <si>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</si>
  <si>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</si>
  <si>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</si>
  <si>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</si>
  <si>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</si>
  <si>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</si>
  <si>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</si>
  <si>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</si>
  <si>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</si>
  <si>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</si>
  <si>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</si>
  <si>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</si>
  <si>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</si>
  <si>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</si>
  <si>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</si>
  <si>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</si>
  <si>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</si>
  <si>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</si>
  <si>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</si>
  <si>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</si>
  <si>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</si>
  <si>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</si>
  <si>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</si>
  <si>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</si>
  <si>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</si>
  <si>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</si>
  <si>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</si>
  <si>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</si>
  <si>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</si>
  <si>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</si>
  <si>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</si>
  <si>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</si>
  <si>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</si>
  <si>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</si>
  <si>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</si>
  <si>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</si>
  <si>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</si>
  <si>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</si>
  <si>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</si>
  <si>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</si>
  <si>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</si>
  <si>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</si>
  <si>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</si>
  <si>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</si>
  <si>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</si>
  <si>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</si>
  <si>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</si>
  <si>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</si>
  <si>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</si>
  <si>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</si>
  <si>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</si>
  <si>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</si>
  <si>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</si>
  <si>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</si>
  <si>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</si>
  <si>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</si>
  <si>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</si>
  <si>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</si>
  <si>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</si>
  <si>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</si>
  <si>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</si>
  <si>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</si>
  <si>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</si>
  <si>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</si>
  <si>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</si>
  <si>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</si>
  <si>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</si>
  <si>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</si>
  <si>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</si>
  <si>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</si>
  <si>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</si>
  <si>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</si>
  <si>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</si>
  <si>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</si>
  <si>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</si>
  <si>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</si>
  <si>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</si>
  <si>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</si>
  <si>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</si>
  <si>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</si>
  <si>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</si>
  <si>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</si>
  <si>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</si>
  <si>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</si>
  <si>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</si>
  <si>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</si>
  <si>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</si>
  <si>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</si>
  <si>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</si>
  <si>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</si>
  <si>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</si>
  <si>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</si>
  <si>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</si>
  <si>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</si>
  <si>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</si>
  <si>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</si>
  <si>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</si>
  <si>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</si>
  <si>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</si>
  <si>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</si>
  <si>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</si>
  <si>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</si>
  <si>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</si>
  <si>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</si>
  <si>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</si>
  <si>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</si>
  <si>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</si>
  <si>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</si>
  <si>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</si>
  <si>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</si>
  <si>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</si>
  <si>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</si>
  <si>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</si>
  <si>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</si>
  <si>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</si>
  <si>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</si>
  <si>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</si>
  <si>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</si>
  <si>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</si>
  <si>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</si>
  <si>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</si>
  <si>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</si>
  <si>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</si>
  <si>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</si>
  <si>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</si>
  <si>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</si>
  <si>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</si>
  <si>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</si>
  <si>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</si>
  <si>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</si>
  <si>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</si>
  <si>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</si>
  <si>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</si>
  <si>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</si>
  <si>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</si>
  <si>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</si>
  <si>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</si>
  <si>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</si>
  <si>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</si>
  <si>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</si>
  <si>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</si>
  <si>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</si>
  <si>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</si>
  <si>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</si>
  <si>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</si>
  <si>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</si>
  <si>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</si>
  <si>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</si>
  <si>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</si>
  <si>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</si>
  <si>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</si>
  <si>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</si>
  <si>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</si>
  <si>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</si>
  <si>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</si>
  <si>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</si>
  <si>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</si>
  <si>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</si>
  <si>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</si>
  <si>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</si>
  <si>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</si>
  <si>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</si>
  <si>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</si>
  <si>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</si>
  <si>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</si>
  <si>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</si>
  <si>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</si>
  <si>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</si>
  <si>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</si>
  <si>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</si>
  <si>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</si>
  <si>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</si>
  <si>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</si>
  <si>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</si>
  <si>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</si>
  <si>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</si>
  <si>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</si>
  <si>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</si>
  <si>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</si>
  <si>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</si>
  <si>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</si>
  <si>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</si>
  <si>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</si>
  <si>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</si>
  <si>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</si>
  <si>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</si>
  <si>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</si>
  <si>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</si>
  <si>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</si>
  <si>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</si>
  <si>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</si>
  <si>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</si>
  <si>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</si>
  <si>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</si>
  <si>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</si>
  <si>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</si>
  <si>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</si>
  <si>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</si>
  <si>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</si>
  <si>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</si>
  <si>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</si>
  <si>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</si>
  <si>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</si>
  <si>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</si>
  <si>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</si>
  <si>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</si>
  <si>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</si>
  <si>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</si>
  <si>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</si>
  <si>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</si>
  <si>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</si>
  <si>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</si>
  <si>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</si>
  <si>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</si>
  <si>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</si>
  <si>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</si>
  <si>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</si>
  <si>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</si>
  <si>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</si>
  <si>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</si>
  <si>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</si>
  <si>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</si>
  <si>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</si>
  <si>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</si>
  <si>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</si>
  <si>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</si>
  <si>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</si>
  <si>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</si>
  <si>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</si>
  <si>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</si>
  <si>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</si>
  <si>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</si>
  <si>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</si>
  <si>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</si>
  <si>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</si>
  <si>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</si>
  <si>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</si>
  <si>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</si>
  <si>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</si>
  <si>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</si>
  <si>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</si>
  <si>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</si>
  <si>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</si>
  <si>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</si>
  <si>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</si>
  <si>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</si>
  <si>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</si>
  <si>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</si>
  <si>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</si>
  <si>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</si>
  <si>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</si>
  <si>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</si>
  <si>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</si>
  <si>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</si>
  <si>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</si>
  <si>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</si>
  <si>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</si>
  <si>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</si>
  <si>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</si>
  <si>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</si>
  <si>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</si>
  <si>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</si>
  <si>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</si>
  <si>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</si>
  <si>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</si>
  <si>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</si>
  <si>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</si>
  <si>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</si>
  <si>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</si>
  <si>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</si>
  <si>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</si>
  <si>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</si>
  <si>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</si>
  <si>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</si>
  <si>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</si>
  <si>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</si>
  <si>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</si>
  <si>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</si>
  <si>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</si>
  <si>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</si>
  <si>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</si>
  <si>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</si>
  <si>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</si>
  <si>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</si>
  <si>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</si>
  <si>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</si>
  <si>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</si>
  <si>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</si>
  <si>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</si>
  <si>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</si>
  <si>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</si>
  <si>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</si>
  <si>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</si>
  <si>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</si>
  <si>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</si>
  <si>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</si>
  <si>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</si>
  <si>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</si>
  <si>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</si>
  <si>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</si>
  <si>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</si>
  <si>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</si>
  <si>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</si>
  <si>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</si>
  <si>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</si>
  <si>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</si>
  <si>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</si>
  <si>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</si>
  <si>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</si>
  <si>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</si>
  <si>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</si>
  <si>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</si>
  <si>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</si>
  <si>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</si>
  <si>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</si>
  <si>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</si>
  <si>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</si>
  <si>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</si>
  <si>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</si>
  <si>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</si>
  <si>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</si>
  <si>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</si>
  <si>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</si>
  <si>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</si>
  <si>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</si>
  <si>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</si>
  <si>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</si>
  <si>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</si>
  <si>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</si>
  <si>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</si>
  <si>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</si>
  <si>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</si>
  <si>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</si>
  <si>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</si>
  <si>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</si>
  <si>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</si>
  <si>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</si>
  <si>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</si>
  <si>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</si>
  <si>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</si>
  <si>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</si>
  <si>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</si>
  <si>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</si>
  <si>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</si>
  <si>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</si>
  <si>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</si>
  <si>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</si>
  <si>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</si>
  <si>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</si>
  <si>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</si>
  <si>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</si>
  <si>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</si>
  <si>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</si>
  <si>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</si>
  <si>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</si>
  <si>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</si>
  <si>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</si>
  <si>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</si>
  <si>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</si>
  <si>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</si>
  <si>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</si>
  <si>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</si>
  <si>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</si>
  <si>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</si>
  <si>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</si>
  <si>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</si>
  <si>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</si>
  <si>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</si>
  <si>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</si>
  <si>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</si>
  <si>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</si>
  <si>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</si>
  <si>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</si>
  <si>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</si>
  <si>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</si>
  <si>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</si>
  <si>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</si>
  <si>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</si>
  <si>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</si>
  <si>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</si>
  <si>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</si>
  <si>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</si>
  <si>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</si>
  <si>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</si>
  <si>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</si>
  <si>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</si>
  <si>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</si>
  <si>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</si>
  <si>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</si>
  <si>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</si>
  <si>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</si>
  <si>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</si>
  <si>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</si>
  <si>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</si>
  <si>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</si>
  <si>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</si>
  <si>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</si>
  <si>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</si>
  <si>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</si>
  <si>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</si>
  <si>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</si>
  <si>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</si>
  <si>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</si>
  <si>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</si>
  <si>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</si>
  <si>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</si>
  <si>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</si>
  <si>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</si>
  <si>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</si>
  <si>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</si>
  <si>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</si>
  <si>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</si>
  <si>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</si>
  <si>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</si>
  <si>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</si>
  <si>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</si>
  <si>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</si>
  <si>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</si>
  <si>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</si>
  <si>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</si>
  <si>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</si>
  <si>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</si>
  <si>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</si>
  <si>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</si>
  <si>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</si>
  <si>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</si>
  <si>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</si>
  <si>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</si>
  <si>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</si>
  <si>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</si>
  <si>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</si>
  <si>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</si>
  <si>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</si>
  <si>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</si>
  <si>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</si>
  <si>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</si>
  <si>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</si>
  <si>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</si>
  <si>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</si>
  <si>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</si>
  <si>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</si>
  <si>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</si>
  <si>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</si>
  <si>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</si>
  <si>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</si>
  <si>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</si>
  <si>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</si>
  <si>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</si>
  <si>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</si>
  <si>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</si>
  <si>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</si>
  <si>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</si>
  <si>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</si>
  <si>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</si>
  <si>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</si>
  <si>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</si>
  <si>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</si>
  <si>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</si>
  <si>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</si>
  <si>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</si>
  <si>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</si>
  <si>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</si>
  <si>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</si>
  <si>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</si>
  <si>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</si>
  <si>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</si>
  <si>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</si>
  <si>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</si>
  <si>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</si>
  <si>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</si>
  <si>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</si>
  <si>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</si>
  <si>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</si>
  <si>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</si>
  <si>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</si>
  <si>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</si>
  <si>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</si>
  <si>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</si>
  <si>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</si>
  <si>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</si>
  <si>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</si>
  <si>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</si>
  <si>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</si>
  <si>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</si>
  <si>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</si>
  <si>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</si>
  <si>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</si>
  <si>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</si>
  <si>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</si>
  <si>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</si>
  <si>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</si>
  <si>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</si>
  <si>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</si>
  <si>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</si>
  <si>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</si>
  <si>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</si>
  <si>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</si>
  <si>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</si>
  <si>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</si>
  <si>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</si>
  <si>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</si>
  <si>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</si>
  <si>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</si>
  <si>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</si>
  <si>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</si>
  <si>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</si>
  <si>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</si>
  <si>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</si>
  <si>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</si>
  <si>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</si>
  <si>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</si>
  <si>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</si>
  <si>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</si>
  <si>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</si>
  <si>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</si>
  <si>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</si>
  <si>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</si>
  <si>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</si>
  <si>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</si>
  <si>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</si>
  <si>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</si>
  <si>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</si>
  <si>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</si>
  <si>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</si>
  <si>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</si>
  <si>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</si>
  <si>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</si>
  <si>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</si>
  <si>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</si>
  <si>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</si>
  <si>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</si>
  <si>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</si>
  <si>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</si>
  <si>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</si>
  <si>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</si>
  <si>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</si>
  <si>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</si>
  <si>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</si>
  <si>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</si>
  <si>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</si>
  <si>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</si>
  <si>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</si>
  <si>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</si>
  <si>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</si>
  <si>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</si>
  <si>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</si>
  <si>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</si>
  <si>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</si>
  <si>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</si>
  <si>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</si>
  <si>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</si>
  <si>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</si>
  <si>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</si>
  <si>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</si>
  <si>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</si>
  <si>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</si>
  <si>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</si>
  <si>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</si>
  <si>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</si>
  <si>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</si>
  <si>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</si>
  <si>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</si>
  <si>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</si>
  <si>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</si>
  <si>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</si>
  <si>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</si>
  <si>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</si>
  <si>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</si>
  <si>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</si>
  <si>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</si>
  <si>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</si>
  <si>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</si>
  <si>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</si>
  <si>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</si>
  <si>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</si>
  <si>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</si>
  <si>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</si>
  <si>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</si>
  <si>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</si>
  <si>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</si>
  <si>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</si>
  <si>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</si>
  <si>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</si>
  <si>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</si>
  <si>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</si>
  <si>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</si>
  <si>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</si>
  <si>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</si>
  <si>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</si>
  <si>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</si>
  <si>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</si>
  <si>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</si>
  <si>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</si>
  <si>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</si>
  <si>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</si>
  <si>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</si>
  <si>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</si>
  <si>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</si>
  <si>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</si>
  <si>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</si>
  <si>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</si>
  <si>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</si>
  <si>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</si>
  <si>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</si>
  <si>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</si>
  <si>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</si>
  <si>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</si>
  <si>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</si>
  <si>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</si>
  <si>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</si>
  <si>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</si>
  <si>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</si>
  <si>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</si>
  <si>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</si>
  <si>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</si>
  <si>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</si>
  <si>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</si>
  <si>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</si>
  <si>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</si>
  <si>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</si>
  <si>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</si>
  <si>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</si>
  <si>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</si>
  <si>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</si>
  <si>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</si>
  <si>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</si>
  <si>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</si>
  <si>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</si>
  <si>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</si>
  <si>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</si>
  <si>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</si>
  <si>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</si>
  <si>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</si>
  <si>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</si>
  <si>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</si>
  <si>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</si>
  <si>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</si>
  <si>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</si>
  <si>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</si>
  <si>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</si>
  <si>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</si>
  <si>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</si>
  <si>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</si>
  <si>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</si>
  <si>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</si>
  <si>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</si>
  <si>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</si>
  <si>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</si>
  <si>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</si>
  <si>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</si>
  <si>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</si>
  <si>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</si>
  <si>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</si>
  <si>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</si>
  <si>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</si>
  <si>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</si>
  <si>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</si>
  <si>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</si>
  <si>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</si>
  <si>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</si>
  <si>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</si>
  <si>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</si>
  <si>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</si>
  <si>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</si>
  <si>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</si>
  <si>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</si>
  <si>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</si>
  <si>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</si>
  <si>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</si>
  <si>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</si>
  <si>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</si>
  <si>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</si>
  <si>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</si>
  <si>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</si>
  <si>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</si>
  <si>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</si>
  <si>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</si>
  <si>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</si>
  <si>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</si>
  <si>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</si>
  <si>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</si>
  <si>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</si>
  <si>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</si>
  <si>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</si>
  <si>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</si>
  <si>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</si>
  <si>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</si>
  <si>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</si>
  <si>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</si>
  <si>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</si>
  <si>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</si>
  <si>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</si>
  <si>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</si>
  <si>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</si>
  <si>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</si>
  <si>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</si>
  <si>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</si>
  <si>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</si>
  <si>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</si>
  <si>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</si>
  <si>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</si>
  <si>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</si>
  <si>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</si>
  <si>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</si>
  <si>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</si>
  <si>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</si>
  <si>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</si>
  <si>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</si>
  <si>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</si>
  <si>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</si>
  <si>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</si>
  <si>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</si>
  <si>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</si>
  <si>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</si>
  <si>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</si>
  <si>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</si>
  <si>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</si>
  <si>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</si>
  <si>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</si>
  <si>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</si>
  <si>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</si>
  <si>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</si>
  <si>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</si>
  <si>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</si>
  <si>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</si>
  <si>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</si>
  <si>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</si>
  <si>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</si>
  <si>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</si>
  <si>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</si>
  <si>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</si>
  <si>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</si>
  <si>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</si>
  <si>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</si>
  <si>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</si>
  <si>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</si>
  <si>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</si>
  <si>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</si>
  <si>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</si>
  <si>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</si>
  <si>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</si>
  <si>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</si>
  <si>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</si>
  <si>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</si>
  <si>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</si>
  <si>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</si>
  <si>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</si>
  <si>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</si>
  <si>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</si>
  <si>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</si>
  <si>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</si>
  <si>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</si>
  <si>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</si>
  <si>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</si>
  <si>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</si>
  <si>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</si>
  <si>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</si>
  <si>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</si>
  <si>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</si>
  <si>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</si>
  <si>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</si>
  <si>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</si>
  <si>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</si>
  <si>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</si>
  <si>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</si>
  <si>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</si>
  <si>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</si>
  <si>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</si>
  <si>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</si>
  <si>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</si>
  <si>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</si>
  <si>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</si>
  <si>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</si>
  <si>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</si>
  <si>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</si>
  <si>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</si>
  <si>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</si>
  <si>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</si>
  <si>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</si>
  <si>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</si>
  <si>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</si>
  <si>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</si>
  <si>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</si>
  <si>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</si>
  <si>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</si>
  <si>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</si>
  <si>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</si>
  <si>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</si>
  <si>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</si>
  <si>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</si>
  <si>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</si>
  <si>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</si>
  <si>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</si>
  <si>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</si>
  <si>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</si>
  <si>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</si>
  <si>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</si>
  <si>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</si>
  <si>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</si>
  <si>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</si>
  <si>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</si>
  <si>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</si>
  <si>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</si>
  <si>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</si>
  <si>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</si>
  <si>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</si>
  <si>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</si>
  <si>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</si>
  <si>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</si>
  <si>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</si>
  <si>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</si>
  <si>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</si>
  <si>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</si>
  <si>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</si>
  <si>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</si>
  <si>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</si>
  <si>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</si>
  <si>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</si>
  <si>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</si>
  <si>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</si>
  <si>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</si>
  <si>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</si>
  <si>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</si>
  <si>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</si>
  <si>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</si>
  <si>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</si>
  <si>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</si>
  <si>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</si>
  <si>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</si>
  <si>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</si>
  <si>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</si>
  <si>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</si>
  <si>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</si>
  <si>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</si>
  <si>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</si>
  <si>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</si>
  <si>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</si>
  <si>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</si>
  <si>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</si>
  <si>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</si>
  <si>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</si>
  <si>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</si>
  <si>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</si>
  <si>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</si>
  <si>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</si>
  <si>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</si>
  <si>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</si>
  <si>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</si>
  <si>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</si>
  <si>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</si>
  <si>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</si>
  <si>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</si>
  <si>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</si>
  <si>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</si>
  <si>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</si>
  <si>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</si>
  <si>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</si>
  <si>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</si>
  <si>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</si>
  <si>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</si>
  <si>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</si>
  <si>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</si>
  <si>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</si>
  <si>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</si>
  <si>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</si>
  <si>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</si>
  <si>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</si>
  <si>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</si>
  <si>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</si>
  <si>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</si>
  <si>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</si>
  <si>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</si>
  <si>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</si>
  <si>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</si>
  <si>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</si>
  <si>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</si>
  <si>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</si>
  <si>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</si>
  <si>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</si>
  <si>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</si>
  <si>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</si>
  <si>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</si>
  <si>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</si>
  <si>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</si>
  <si>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</si>
  <si>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</si>
  <si>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</si>
  <si>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</si>
  <si>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</si>
  <si>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</si>
  <si>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</si>
  <si>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</si>
  <si>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</si>
  <si>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</si>
  <si>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</si>
  <si>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</si>
  <si>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</si>
  <si>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</si>
  <si>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</si>
  <si>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</si>
  <si>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</si>
  <si>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</si>
  <si>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</si>
  <si>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</si>
  <si>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</si>
  <si>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</si>
  <si>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</si>
  <si>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</si>
  <si>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</si>
  <si>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</si>
  <si>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</si>
  <si>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</si>
  <si>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</si>
  <si>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</si>
  <si>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</si>
  <si>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</si>
  <si>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</si>
  <si>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</si>
  <si>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</si>
  <si>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</si>
  <si>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</si>
  <si>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</si>
  <si>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</si>
  <si>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</si>
  <si>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</si>
  <si>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</si>
  <si>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</si>
  <si>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</si>
  <si>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</si>
  <si>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</si>
  <si>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</si>
  <si>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</si>
  <si>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</si>
  <si>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</si>
  <si>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</si>
  <si>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</si>
  <si>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</si>
  <si>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</si>
  <si>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</si>
  <si>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</si>
  <si>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</si>
  <si>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</si>
  <si>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</si>
  <si>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</si>
  <si>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</si>
  <si>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</si>
  <si>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</si>
  <si>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</si>
  <si>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</si>
  <si>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</si>
  <si>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</si>
  <si>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</si>
  <si>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</si>
  <si>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</si>
  <si>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</si>
  <si>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</si>
  <si>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</si>
  <si>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</si>
  <si>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</si>
  <si>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</si>
  <si>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</si>
  <si>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</si>
  <si>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</si>
  <si>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</si>
  <si>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</si>
  <si>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</si>
  <si>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</si>
  <si>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</si>
  <si>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</si>
  <si>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</si>
  <si>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</si>
  <si>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</si>
  <si>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</si>
  <si>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</si>
  <si>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</si>
  <si>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</si>
  <si>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</si>
  <si>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</si>
  <si>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</si>
  <si>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</si>
  <si>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</si>
  <si>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</si>
  <si>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</si>
  <si>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</si>
  <si>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</si>
  <si>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</si>
  <si>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</si>
  <si>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</si>
  <si>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</si>
  <si>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</si>
  <si>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</si>
  <si>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</si>
  <si>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</si>
  <si>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</si>
  <si>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</si>
  <si>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</si>
  <si>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</si>
  <si>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</si>
  <si>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</si>
  <si>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</si>
  <si>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</si>
  <si>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</si>
  <si>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</si>
  <si>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</si>
  <si>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</si>
  <si>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</si>
  <si>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</si>
  <si>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</si>
  <si>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</si>
  <si>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</si>
  <si>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</si>
  <si>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</si>
  <si>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</si>
  <si>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</si>
  <si>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</si>
  <si>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</si>
  <si>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</si>
  <si>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</si>
  <si>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</si>
  <si>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</si>
  <si>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</si>
  <si>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</si>
  <si>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</si>
  <si>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</si>
  <si>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</si>
  <si>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</si>
  <si>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</si>
  <si>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</si>
  <si>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</si>
  <si>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</si>
  <si>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</si>
  <si>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</si>
  <si>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</si>
  <si>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</si>
  <si>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</si>
  <si>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</si>
  <si>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</si>
  <si>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</si>
  <si>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</si>
  <si>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</si>
  <si>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</si>
  <si>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</si>
  <si>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</si>
  <si>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</si>
  <si>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</si>
  <si>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</si>
  <si>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</si>
  <si>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</si>
  <si>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</si>
  <si>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</si>
  <si>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</si>
  <si>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</si>
  <si>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</si>
  <si>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</si>
  <si>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</si>
  <si>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</si>
  <si>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</si>
  <si>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</si>
  <si>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</si>
  <si>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</si>
  <si>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</si>
  <si>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</si>
  <si>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</si>
  <si>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</si>
  <si>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</si>
  <si>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</si>
  <si>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</si>
  <si>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</si>
  <si>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</si>
  <si>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</si>
  <si>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</si>
  <si>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</si>
  <si>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</si>
  <si>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</si>
  <si>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</si>
  <si>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</si>
  <si>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</si>
  <si>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</si>
  <si>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</si>
  <si>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</si>
  <si>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</si>
  <si>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</si>
  <si>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</si>
  <si>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</si>
  <si>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</si>
  <si>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</si>
  <si>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</si>
  <si>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</si>
  <si>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</si>
  <si>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</si>
  <si>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</si>
  <si>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</si>
  <si>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</si>
  <si>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</si>
  <si>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</si>
  <si>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</si>
  <si>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</si>
  <si>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</si>
  <si>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</si>
  <si>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</si>
  <si>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</si>
  <si>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</si>
  <si>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</si>
  <si>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</si>
  <si>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</si>
  <si>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</si>
  <si>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</si>
  <si>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</si>
  <si>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</si>
  <si>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</si>
  <si>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</si>
  <si>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</si>
  <si>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</si>
  <si>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</si>
  <si>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</si>
  <si>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</si>
  <si>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</si>
  <si>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</si>
  <si>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</si>
  <si>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</si>
  <si>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</si>
  <si>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</si>
  <si>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</si>
  <si>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</si>
  <si>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</si>
  <si>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</si>
  <si>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</si>
  <si>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</si>
  <si>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</si>
  <si>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</si>
  <si>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</si>
  <si>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</si>
  <si>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</si>
  <si>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</si>
  <si>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</si>
  <si>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</si>
  <si>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</si>
  <si>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</si>
  <si>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</si>
  <si>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</si>
  <si>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</si>
  <si>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</si>
  <si>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</si>
  <si>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</si>
  <si>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</si>
  <si>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</si>
  <si>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</si>
  <si>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</si>
  <si>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</si>
  <si>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</si>
  <si>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</si>
  <si>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</si>
  <si>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</si>
  <si>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</si>
  <si>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</si>
  <si>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</si>
  <si>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</si>
  <si>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</si>
  <si>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</si>
  <si>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</si>
  <si>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</si>
  <si>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</si>
  <si>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</si>
  <si>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</si>
  <si>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</si>
  <si>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</si>
  <si>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</si>
  <si>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</si>
  <si>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</si>
  <si>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</si>
  <si>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</si>
  <si>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</si>
  <si>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</si>
  <si>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</si>
  <si>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</si>
  <si>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</si>
  <si>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</si>
  <si>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</si>
  <si>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</si>
  <si>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</si>
  <si>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</si>
  <si>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</si>
  <si>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</si>
  <si>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</si>
  <si>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</si>
  <si>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</si>
  <si>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</si>
  <si>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</si>
  <si>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</si>
  <si>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</si>
  <si>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</si>
  <si>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</si>
  <si>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</si>
  <si>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</si>
  <si>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</si>
  <si>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</si>
  <si>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</si>
  <si>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</si>
  <si>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</si>
  <si>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</si>
  <si>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</si>
  <si>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</si>
  <si>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</si>
  <si>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</si>
  <si>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</si>
  <si>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</si>
  <si>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</si>
  <si>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</si>
  <si>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</si>
  <si>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</si>
  <si>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</si>
  <si>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</si>
  <si>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</si>
  <si>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</si>
  <si>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</si>
  <si>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</si>
  <si>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</si>
  <si>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</si>
  <si>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</si>
  <si>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</si>
  <si>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</si>
  <si>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</si>
  <si>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</si>
  <si>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</si>
  <si>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</si>
  <si>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</si>
  <si>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</si>
  <si>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</si>
  <si>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</si>
  <si>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</si>
  <si>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</si>
  <si>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</si>
  <si>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</si>
  <si>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</si>
  <si>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</si>
  <si>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</si>
  <si>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</si>
  <si>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</si>
  <si>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</si>
  <si>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</si>
  <si>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</si>
  <si>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</si>
  <si>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</si>
  <si>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</si>
  <si>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</si>
  <si>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</si>
  <si>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</si>
  <si>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</si>
  <si>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</si>
  <si>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</si>
  <si>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</si>
  <si>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</si>
  <si>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</si>
  <si>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</si>
  <si>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</si>
  <si>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</si>
  <si>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</si>
  <si>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</si>
  <si>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</si>
  <si>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</si>
  <si>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</si>
  <si>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</si>
  <si>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</si>
  <si>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</si>
  <si>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</si>
  <si>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</si>
  <si>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</si>
  <si>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</si>
  <si>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</si>
  <si>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</si>
  <si>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</si>
  <si>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</si>
  <si>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</si>
  <si>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</si>
  <si>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</si>
  <si>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</si>
  <si>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</si>
  <si>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</si>
  <si>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</si>
  <si>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</si>
  <si>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</si>
  <si>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</si>
  <si>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</si>
  <si>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</si>
  <si>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</si>
  <si>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</si>
  <si>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</si>
  <si>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</si>
  <si>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</si>
  <si>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</si>
  <si>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</si>
  <si>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</si>
  <si>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</si>
  <si>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</si>
  <si>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</si>
  <si>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</si>
  <si>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</si>
  <si>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</si>
  <si>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</si>
  <si>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</si>
  <si>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</si>
  <si>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</si>
  <si>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</si>
  <si>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</si>
  <si>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</si>
  <si>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</si>
  <si>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</si>
  <si>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</si>
  <si>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</si>
  <si>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</si>
  <si>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</si>
  <si>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</si>
  <si>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</si>
  <si>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</si>
  <si>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</si>
  <si>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</si>
  <si>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</si>
  <si>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</si>
  <si>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</si>
  <si>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</si>
  <si>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</si>
  <si>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</si>
  <si>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</si>
  <si>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</si>
  <si>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</si>
  <si>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</si>
  <si>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</si>
  <si>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</si>
  <si>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</si>
  <si>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</si>
  <si>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</si>
  <si>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</si>
  <si>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</si>
  <si>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</si>
  <si>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</si>
  <si>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</si>
  <si>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</si>
  <si>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</si>
  <si>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</si>
  <si>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</si>
  <si>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</si>
  <si>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</si>
  <si>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</si>
  <si>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</si>
  <si>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</si>
  <si>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</si>
  <si>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</si>
  <si>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</si>
  <si>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</si>
  <si>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</si>
  <si>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</si>
  <si>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</si>
  <si>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</si>
  <si>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</si>
  <si>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</si>
  <si>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</si>
  <si>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</si>
  <si>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</si>
  <si>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</si>
  <si>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</si>
  <si>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</si>
  <si>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</si>
  <si>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</si>
  <si>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</si>
  <si>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</si>
  <si>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</si>
  <si>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</si>
  <si>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</si>
  <si>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</si>
  <si>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</si>
  <si>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</si>
  <si>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</si>
  <si>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</si>
  <si>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</si>
  <si>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</si>
  <si>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</si>
  <si>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</si>
  <si>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</si>
  <si>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</si>
  <si>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</si>
  <si>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</si>
  <si>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</si>
  <si>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</si>
  <si>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</si>
  <si>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</si>
  <si>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</si>
  <si>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</si>
  <si>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</si>
  <si>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</si>
  <si>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</si>
  <si>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</si>
  <si>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</si>
  <si>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</si>
  <si>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</si>
  <si>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</si>
  <si>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</si>
  <si>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</si>
  <si>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</si>
  <si>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</si>
  <si>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</si>
  <si>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</si>
  <si>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</si>
  <si>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</si>
  <si>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</si>
  <si>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</si>
  <si>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</si>
  <si>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</si>
  <si>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</si>
  <si>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</si>
  <si>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</si>
  <si>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</si>
  <si>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</si>
  <si>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</si>
  <si>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</si>
  <si>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</si>
  <si>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</si>
  <si>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</si>
  <si>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</si>
  <si>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</si>
  <si>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</si>
  <si>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</si>
  <si>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</si>
  <si>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</si>
  <si>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</si>
  <si>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</si>
  <si>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</si>
  <si>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</si>
  <si>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</si>
  <si>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</si>
  <si>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</si>
  <si>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</si>
  <si>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</si>
  <si>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</si>
  <si>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</si>
  <si>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</si>
  <si>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</si>
  <si>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</si>
  <si>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</si>
  <si>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</si>
  <si>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</si>
  <si>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</si>
  <si>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</si>
  <si>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</si>
  <si>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</si>
  <si>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</si>
  <si>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</si>
  <si>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</si>
  <si>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</si>
  <si>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</si>
  <si>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</si>
  <si>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</si>
  <si>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</si>
  <si>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</si>
  <si>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</si>
  <si>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</si>
  <si>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</si>
  <si>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</si>
  <si>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</si>
  <si>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</si>
  <si>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</si>
  <si>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</si>
  <si>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</si>
  <si>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</si>
  <si>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</si>
  <si>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</si>
  <si>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</si>
  <si>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</si>
  <si>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</si>
  <si>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</si>
  <si>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</si>
  <si>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</si>
  <si>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</si>
  <si>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</si>
  <si>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</si>
  <si>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</si>
  <si>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</si>
  <si>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</si>
  <si>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</si>
  <si>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</si>
  <si>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</si>
  <si>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</si>
  <si>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</si>
  <si>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</si>
  <si>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</si>
  <si>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</si>
  <si>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</si>
  <si>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</si>
  <si>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</si>
  <si>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</si>
  <si>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</si>
  <si>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</si>
  <si>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</si>
  <si>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</si>
  <si>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</si>
  <si>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</si>
  <si>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</si>
  <si>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</si>
  <si>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</si>
  <si>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</si>
  <si>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</si>
  <si>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</si>
  <si>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</si>
  <si>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</si>
  <si>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</si>
  <si>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</si>
  <si>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</si>
  <si>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</si>
  <si>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</si>
  <si>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</si>
  <si>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</si>
  <si>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</si>
  <si>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</si>
  <si>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</si>
  <si>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</si>
  <si>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</si>
  <si>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</si>
  <si>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</si>
  <si>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</si>
  <si>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</si>
  <si>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</si>
  <si>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</si>
  <si>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</si>
  <si>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</si>
  <si>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</si>
  <si>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</si>
  <si>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</si>
  <si>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</si>
  <si>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</si>
  <si>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</si>
  <si>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</si>
  <si>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</si>
  <si>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</si>
  <si>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</si>
  <si>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</si>
  <si>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</si>
  <si>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</si>
  <si>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</si>
  <si>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</si>
  <si>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</si>
  <si>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</si>
  <si>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</si>
  <si>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</si>
  <si>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</si>
  <si>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</si>
  <si>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</si>
  <si>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</si>
  <si>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</si>
  <si>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</si>
  <si>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</si>
  <si>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</si>
  <si>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</si>
  <si>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</si>
  <si>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</si>
  <si>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</si>
  <si>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</si>
  <si>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</si>
  <si>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</si>
  <si>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</si>
  <si>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</si>
  <si>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</si>
  <si>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</si>
  <si>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</si>
  <si>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</si>
  <si>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</si>
  <si>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</si>
  <si>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</si>
  <si>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</si>
  <si>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</si>
  <si>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</si>
  <si>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</si>
  <si>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</si>
  <si>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</si>
  <si>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</si>
  <si>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</si>
  <si>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</si>
  <si>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</si>
  <si>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</si>
  <si>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</si>
  <si>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</si>
  <si>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</si>
  <si>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</si>
  <si>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</si>
  <si>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</si>
  <si>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</si>
  <si>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</si>
  <si>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</si>
  <si>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</si>
  <si>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</si>
  <si>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</si>
  <si>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</si>
  <si>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</si>
  <si>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</si>
  <si>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</si>
  <si>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</si>
  <si>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</si>
  <si>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</si>
  <si>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</si>
  <si>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</si>
  <si>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</si>
  <si>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</si>
  <si>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</si>
  <si>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</si>
  <si>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</si>
  <si>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</si>
  <si>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</si>
  <si>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</si>
  <si>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</si>
  <si>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</si>
  <si>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</si>
  <si>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</si>
  <si>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</si>
  <si>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</si>
  <si>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</si>
  <si>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</si>
  <si>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</si>
  <si>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</si>
  <si>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</si>
  <si>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</si>
  <si>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</si>
  <si>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</si>
  <si>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</si>
  <si>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</si>
  <si>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</si>
  <si>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</si>
  <si>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</si>
  <si>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</si>
  <si>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</si>
  <si>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</si>
  <si>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</si>
  <si>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</si>
  <si>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</si>
  <si>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</si>
  <si>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</si>
  <si>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</si>
  <si>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</si>
  <si>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</si>
  <si>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</si>
  <si>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</si>
  <si>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</si>
  <si>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</si>
  <si>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</si>
  <si>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</si>
  <si>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</si>
  <si>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</si>
  <si>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</si>
  <si>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</si>
  <si>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</si>
  <si>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</si>
  <si>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</si>
  <si>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</si>
  <si>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</si>
  <si>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</si>
  <si>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</si>
  <si>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</si>
  <si>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</si>
  <si>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</si>
  <si>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</si>
  <si>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</si>
  <si>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</si>
  <si>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</si>
  <si>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</si>
  <si>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</si>
  <si>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</si>
  <si>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</si>
  <si>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</si>
  <si>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</si>
  <si>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</si>
  <si>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</si>
  <si>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</si>
  <si>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</si>
  <si>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</si>
  <si>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</si>
  <si>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</si>
  <si>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</si>
  <si>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</si>
  <si>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</si>
  <si>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</si>
  <si>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</si>
  <si>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</si>
  <si>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</si>
  <si>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</si>
  <si>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</si>
  <si>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</si>
  <si>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</si>
  <si>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</si>
  <si>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</si>
  <si>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</si>
  <si>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</si>
  <si>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</si>
  <si>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</si>
  <si>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</si>
  <si>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</si>
  <si>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</si>
  <si>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</si>
  <si>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</si>
  <si>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</si>
  <si>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</si>
  <si>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</si>
  <si>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</si>
  <si>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</si>
  <si>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</si>
  <si>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</si>
  <si>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</si>
  <si>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</si>
  <si>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</si>
  <si>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</si>
  <si>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</si>
  <si>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</si>
  <si>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</si>
  <si>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</si>
  <si>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</si>
  <si>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</si>
  <si>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</si>
  <si>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</si>
  <si>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</si>
  <si>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</si>
  <si>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</si>
  <si>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</si>
  <si>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</si>
  <si>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</si>
  <si>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</si>
  <si>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</si>
  <si>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</si>
  <si>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</si>
  <si>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</si>
  <si>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</si>
  <si>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</si>
  <si>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</si>
  <si>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</si>
  <si>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</si>
  <si>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</si>
  <si>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</si>
  <si>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</si>
  <si>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</si>
  <si>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</si>
  <si>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</si>
  <si>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</si>
  <si>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</si>
  <si>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</si>
  <si>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</si>
  <si>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</si>
  <si>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</si>
  <si>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</si>
  <si>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</si>
  <si>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</si>
  <si>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</si>
  <si>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</si>
  <si>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</si>
  <si>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</si>
  <si>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</si>
  <si>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</si>
  <si>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</si>
  <si>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</si>
  <si>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</si>
  <si>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</si>
  <si>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</si>
  <si>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</si>
  <si>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</si>
  <si>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</si>
  <si>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</si>
  <si>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</si>
  <si>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</si>
  <si>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</si>
  <si>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</si>
  <si>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</si>
  <si>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</si>
  <si>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</si>
  <si>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</si>
  <si>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</si>
  <si>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</si>
  <si>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</si>
  <si>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</si>
  <si>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</si>
  <si>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</si>
  <si>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</si>
  <si>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</si>
  <si>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</si>
  <si>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</si>
  <si>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</si>
  <si>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</si>
  <si>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</si>
  <si>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</si>
  <si>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</si>
  <si>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</si>
  <si>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</si>
  <si>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</si>
  <si>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</si>
  <si>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</si>
  <si>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</si>
  <si>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</si>
  <si>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</si>
  <si>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</si>
  <si>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</si>
  <si>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</si>
  <si>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</si>
  <si>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</si>
  <si>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</si>
  <si>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</si>
  <si>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</si>
  <si>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</si>
  <si>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</si>
  <si>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</si>
  <si>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</si>
  <si>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</si>
  <si>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</si>
  <si>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</si>
  <si>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</si>
  <si>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</si>
  <si>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</si>
  <si>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</si>
  <si>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</si>
  <si>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</si>
  <si>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</si>
  <si>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</si>
  <si>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</si>
  <si>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</si>
  <si>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</si>
  <si>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</si>
  <si>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</si>
  <si>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</si>
  <si>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</si>
  <si>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</si>
  <si>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</si>
  <si>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</si>
  <si>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</si>
  <si>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</si>
  <si>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</si>
  <si>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</si>
  <si>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</si>
  <si>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</si>
  <si>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</si>
  <si>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</si>
  <si>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</si>
  <si>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</si>
  <si>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</si>
  <si>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</si>
  <si>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</si>
  <si>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</si>
  <si>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</si>
  <si>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</si>
  <si>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</si>
  <si>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</si>
  <si>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</si>
  <si>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</si>
  <si>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</si>
  <si>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</si>
  <si>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</si>
  <si>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</si>
  <si>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</si>
  <si>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</si>
  <si>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</si>
  <si>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</si>
  <si>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</si>
  <si>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</si>
  <si>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</si>
  <si>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</si>
  <si>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</si>
  <si>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</si>
  <si>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</si>
  <si>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</si>
  <si>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</si>
  <si>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</si>
  <si>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</si>
  <si>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</si>
  <si>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</si>
  <si>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</si>
  <si>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</si>
  <si>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</si>
  <si>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</si>
  <si>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</si>
  <si>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</si>
  <si>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</si>
  <si>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</si>
  <si>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</si>
  <si>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</si>
  <si>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</si>
  <si>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</si>
  <si>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</si>
  <si>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</si>
  <si>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</si>
  <si>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</si>
  <si>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</si>
  <si>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</si>
  <si>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</si>
  <si>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</si>
  <si>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</si>
  <si>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</si>
  <si>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</si>
  <si>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</si>
  <si>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</si>
  <si>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</si>
  <si>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</si>
  <si>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</si>
  <si>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</si>
  <si>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</si>
  <si>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</si>
  <si>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</si>
  <si>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</si>
  <si>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</si>
  <si>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</si>
  <si>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</si>
  <si>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</si>
  <si>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</si>
  <si>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</si>
  <si>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</si>
  <si>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</si>
  <si>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</si>
  <si>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</si>
  <si>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</si>
  <si>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</si>
  <si>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</si>
  <si>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</si>
  <si>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</si>
  <si>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</si>
  <si>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</si>
  <si>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</si>
  <si>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</si>
  <si>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</si>
  <si>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</si>
  <si>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</si>
  <si>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</si>
  <si>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</si>
  <si>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</si>
  <si>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</si>
  <si>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</si>
  <si>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</si>
  <si>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</si>
  <si>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</si>
  <si>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</si>
  <si>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</si>
  <si>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</si>
  <si>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</si>
  <si>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</si>
  <si>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</si>
  <si>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</si>
  <si>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</si>
  <si>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</si>
  <si>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</si>
  <si>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</si>
  <si>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</si>
  <si>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</si>
  <si>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</si>
  <si>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</si>
  <si>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</si>
  <si>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</si>
  <si>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</si>
  <si>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</si>
  <si>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</si>
  <si>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</si>
  <si>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</si>
  <si>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</si>
  <si>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</si>
  <si>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</si>
  <si>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</si>
  <si>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</si>
  <si>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</si>
  <si>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</si>
  <si>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</si>
  <si>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</si>
  <si>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</si>
  <si>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</si>
  <si>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</si>
  <si>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</si>
  <si>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</si>
  <si>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</si>
  <si>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</si>
  <si>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</si>
  <si>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</si>
  <si>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</si>
  <si>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</si>
  <si>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</si>
  <si>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</si>
  <si>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</si>
  <si>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</si>
  <si>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</si>
  <si>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</si>
  <si>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</si>
  <si>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</si>
  <si>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</si>
  <si>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</si>
  <si>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</si>
  <si>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</si>
  <si>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</si>
  <si>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</si>
  <si>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</si>
  <si>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</si>
  <si>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</si>
  <si>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</si>
  <si>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</si>
  <si>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</si>
  <si>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</si>
  <si>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</si>
  <si>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</si>
  <si>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</si>
  <si>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</si>
  <si>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</si>
  <si>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</si>
  <si>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</si>
  <si>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</si>
  <si>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</si>
  <si>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</si>
  <si>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</si>
  <si>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</si>
  <si>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</si>
  <si>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</si>
  <si>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</si>
  <si>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</si>
  <si>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</si>
  <si>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</si>
  <si>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</si>
  <si>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</si>
  <si>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</si>
  <si>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</si>
  <si>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</si>
  <si>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</si>
  <si>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</si>
  <si>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</si>
  <si>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</si>
  <si>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</si>
  <si>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</si>
  <si>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</si>
  <si>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</si>
  <si>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</si>
  <si>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</si>
  <si>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</si>
  <si>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</si>
  <si>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</si>
  <si>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</si>
  <si>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</si>
  <si>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</si>
  <si>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</si>
  <si>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</si>
  <si>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</si>
  <si>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</si>
  <si>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</si>
  <si>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</si>
  <si>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</si>
  <si>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</si>
  <si>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</si>
  <si>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</si>
  <si>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</si>
  <si>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</si>
  <si>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</si>
  <si>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</si>
  <si>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</si>
  <si>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</si>
  <si>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</si>
  <si>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</si>
  <si>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</si>
  <si>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</si>
  <si>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</si>
  <si>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</si>
  <si>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</si>
  <si>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</si>
  <si>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</si>
  <si>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</si>
  <si>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</si>
  <si>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</si>
  <si>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</si>
  <si>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</si>
  <si>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</si>
  <si>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</si>
  <si>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</si>
  <si>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</si>
  <si>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</si>
  <si>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</si>
  <si>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</si>
  <si>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</si>
  <si>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</si>
  <si>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</si>
  <si>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</si>
  <si>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</si>
  <si>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</si>
  <si>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</si>
  <si>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</si>
  <si>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</si>
  <si>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</si>
  <si>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</si>
  <si>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</si>
  <si>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</si>
  <si>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</si>
  <si>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</si>
  <si>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</si>
  <si>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</si>
  <si>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</si>
  <si>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</si>
  <si>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</si>
  <si>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</si>
  <si>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</si>
  <si>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</si>
  <si>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</si>
  <si>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</si>
  <si>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</si>
  <si>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</si>
  <si>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</si>
  <si>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</si>
  <si>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</si>
  <si>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</si>
  <si>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</si>
  <si>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</si>
  <si>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</si>
  <si>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</si>
  <si>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</si>
  <si>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</si>
  <si>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</si>
  <si>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</si>
  <si>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</si>
  <si>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</si>
  <si>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</si>
  <si>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</si>
  <si>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</si>
  <si>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</si>
  <si>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</si>
  <si>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</si>
  <si>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</si>
  <si>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</si>
  <si>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</si>
  <si>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</si>
  <si>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</si>
  <si>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</si>
  <si>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</si>
  <si>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</si>
  <si>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</si>
  <si>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</si>
  <si>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</si>
  <si>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</si>
  <si>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</si>
  <si>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</si>
  <si>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</si>
  <si>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</si>
  <si>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</si>
  <si>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</si>
  <si>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</si>
  <si>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</si>
  <si>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</si>
  <si>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</si>
  <si>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</si>
  <si>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</si>
  <si>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</si>
  <si>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</si>
  <si>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</si>
  <si>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</si>
  <si>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</si>
  <si>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</si>
  <si>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</si>
  <si>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</si>
  <si>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</si>
  <si>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</si>
  <si>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</si>
  <si>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</si>
  <si>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</si>
  <si>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</si>
  <si>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</si>
  <si>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</si>
  <si>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</si>
  <si>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</si>
  <si>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</si>
  <si>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</si>
  <si>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</si>
  <si>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</si>
  <si>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</si>
  <si>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</si>
  <si>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</si>
  <si>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</si>
  <si>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</si>
  <si>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</si>
  <si>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</si>
  <si>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</si>
  <si>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</si>
  <si>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</si>
  <si>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</si>
  <si>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</si>
  <si>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</si>
  <si>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</si>
  <si>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</si>
  <si>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</si>
  <si>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</si>
  <si>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</si>
  <si>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</si>
  <si>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</si>
  <si>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</si>
  <si>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</si>
  <si>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</si>
  <si>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</si>
  <si>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</si>
  <si>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</si>
  <si>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</si>
  <si>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</si>
  <si>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</si>
  <si>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</si>
  <si>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</si>
  <si>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</si>
  <si>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</si>
  <si>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</si>
  <si>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</si>
  <si>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</si>
  <si>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</si>
  <si>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</si>
  <si>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</si>
  <si>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</si>
  <si>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</si>
  <si>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</si>
  <si>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</si>
  <si>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</si>
  <si>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</si>
  <si>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</si>
  <si>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</si>
  <si>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</si>
  <si>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</si>
  <si>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</si>
  <si>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</si>
  <si>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</si>
  <si>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</si>
  <si>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</si>
  <si>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</si>
  <si>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</si>
  <si>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</si>
  <si>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</si>
  <si>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</si>
  <si>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</si>
  <si>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</si>
  <si>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</si>
  <si>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</si>
  <si>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</si>
  <si>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</si>
  <si>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</si>
  <si>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</si>
  <si>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</si>
  <si>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</si>
  <si>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</si>
  <si>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</si>
  <si>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</si>
  <si>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</si>
  <si>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</si>
  <si>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</si>
  <si>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</si>
  <si>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</si>
  <si>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</si>
  <si>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</si>
  <si>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</si>
  <si>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</si>
  <si>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</si>
  <si>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</si>
  <si>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</si>
  <si>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</si>
  <si>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</si>
  <si>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</si>
  <si>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</si>
  <si>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</si>
  <si>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</si>
  <si>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</si>
  <si>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</si>
  <si>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</si>
  <si>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</si>
  <si>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</si>
  <si>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</si>
  <si>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</si>
  <si>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</si>
  <si>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</si>
  <si>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</si>
  <si>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</si>
  <si>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</si>
  <si>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</si>
  <si>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</si>
  <si>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</si>
  <si>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</si>
  <si>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</si>
  <si>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</si>
  <si>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</si>
  <si>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</si>
  <si>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</si>
  <si>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</si>
  <si>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</si>
  <si>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</si>
  <si>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</si>
  <si>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</si>
  <si>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</si>
  <si>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</si>
  <si>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</si>
  <si>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</si>
  <si>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</si>
  <si>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</si>
  <si>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</si>
  <si>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</si>
  <si>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</si>
  <si>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</si>
  <si>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</si>
  <si>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</si>
  <si>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</si>
  <si>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</si>
  <si>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</si>
  <si>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</si>
  <si>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</si>
  <si>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</si>
  <si>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</si>
  <si>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</si>
  <si>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</si>
  <si>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</si>
  <si>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</si>
  <si>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</si>
  <si>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</si>
  <si>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</si>
  <si>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</si>
  <si>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</si>
  <si>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</si>
  <si>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</si>
  <si>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</si>
  <si>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</si>
  <si>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</si>
  <si>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</si>
  <si>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</si>
  <si>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</si>
  <si>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</si>
  <si>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</si>
  <si>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</si>
  <si>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</si>
  <si>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</si>
  <si>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</si>
  <si>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</si>
  <si>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</si>
  <si>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</si>
  <si>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</si>
  <si>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</si>
  <si>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</si>
  <si>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</si>
  <si>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</si>
  <si>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</si>
  <si>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</si>
  <si>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</si>
  <si>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</si>
  <si>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</si>
  <si>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</si>
  <si>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</si>
  <si>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</si>
  <si>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</si>
  <si>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</si>
  <si>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</si>
  <si>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</si>
  <si>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</si>
  <si>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</si>
  <si>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</si>
  <si>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</si>
  <si>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</si>
  <si>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</si>
  <si>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</si>
  <si>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</si>
  <si>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</si>
  <si>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</si>
  <si>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</si>
  <si>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</si>
  <si>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</si>
  <si>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</si>
  <si>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</si>
  <si>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</si>
  <si>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</si>
  <si>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</si>
  <si>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</si>
  <si>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</si>
  <si>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</si>
  <si>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</si>
  <si>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</si>
  <si>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</si>
  <si>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</si>
  <si>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</si>
  <si>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</si>
  <si>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</si>
  <si>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</si>
  <si>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</si>
  <si>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</si>
  <si>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</si>
  <si>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</si>
  <si>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</si>
  <si>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</si>
  <si>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</si>
  <si>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</si>
  <si>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</si>
  <si>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</si>
  <si>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</si>
  <si>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</si>
  <si>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</si>
  <si>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</si>
  <si>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</si>
  <si>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</si>
  <si>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</si>
  <si>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</si>
  <si>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</si>
  <si>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</si>
  <si>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</si>
  <si>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</si>
  <si>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</si>
  <si>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</si>
  <si>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</si>
  <si>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</si>
  <si>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</si>
  <si>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</si>
  <si>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</si>
  <si>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</si>
  <si>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</si>
  <si>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</si>
  <si>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</si>
  <si>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</si>
  <si>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</si>
  <si>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</si>
  <si>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</si>
  <si>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</si>
  <si>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</si>
  <si>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</si>
  <si>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</si>
  <si>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</si>
  <si>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</si>
  <si>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</si>
  <si>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</si>
  <si>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</si>
  <si>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</si>
  <si>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</si>
  <si>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</si>
  <si>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</si>
  <si>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</si>
  <si>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</si>
  <si>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</si>
  <si>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</si>
  <si>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</si>
  <si>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</si>
  <si>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</si>
  <si>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</si>
  <si>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</si>
  <si>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</si>
  <si>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</si>
  <si>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</si>
  <si>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</si>
  <si>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</si>
  <si>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</si>
  <si>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</si>
  <si>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</si>
  <si>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</si>
  <si>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</si>
  <si>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</si>
  <si>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</si>
  <si>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</si>
  <si>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</si>
  <si>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</si>
  <si>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</si>
  <si>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</si>
  <si>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</si>
  <si>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</si>
  <si>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</si>
  <si>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</si>
  <si>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</si>
  <si>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</si>
  <si>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</si>
  <si>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</si>
  <si>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</si>
  <si>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</si>
  <si>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</si>
  <si>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</si>
  <si>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</si>
  <si>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</si>
  <si>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</si>
  <si>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</si>
  <si>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</si>
  <si>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</si>
  <si>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</si>
  <si>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</si>
  <si>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</si>
  <si>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</si>
  <si>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</si>
  <si>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</si>
  <si>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</si>
  <si>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</si>
  <si>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</si>
  <si>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</si>
  <si>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</si>
  <si>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</si>
  <si>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</si>
  <si>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</si>
  <si>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</si>
  <si>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</si>
  <si>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</si>
  <si>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</si>
  <si>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</si>
  <si>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</si>
  <si>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</si>
  <si>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</si>
  <si>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</si>
  <si>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</si>
  <si>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</si>
  <si>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</si>
  <si>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</si>
  <si>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</si>
  <si>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</si>
  <si>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</si>
  <si>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</si>
  <si>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</si>
  <si>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</si>
  <si>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</si>
  <si>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</si>
  <si>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</si>
  <si>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</si>
  <si>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</si>
  <si>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</si>
  <si>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</si>
  <si>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</si>
  <si>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</si>
  <si>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</si>
  <si>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</si>
  <si>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</si>
  <si>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</si>
  <si>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</si>
  <si>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</si>
  <si>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</si>
  <si>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</si>
  <si>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</si>
  <si>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</si>
  <si>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</si>
  <si>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</si>
  <si>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</si>
  <si>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</si>
  <si>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</si>
  <si>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</si>
  <si>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</si>
  <si>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</si>
  <si>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</si>
  <si>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</si>
  <si>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</si>
  <si>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</si>
  <si>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</si>
  <si>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</si>
  <si>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</si>
  <si>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</si>
  <si>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</si>
  <si>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</si>
  <si>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</si>
  <si>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</si>
  <si>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</si>
  <si>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</si>
  <si>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</si>
  <si>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</si>
  <si>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</si>
  <si>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</si>
  <si>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</si>
  <si>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</si>
  <si>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</si>
  <si>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</si>
  <si>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</si>
  <si>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</si>
  <si>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</si>
  <si>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</si>
  <si>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</si>
  <si>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</si>
  <si>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</si>
  <si>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</si>
  <si>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</si>
  <si>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</si>
  <si>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</si>
  <si>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</si>
  <si>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</si>
  <si>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</si>
  <si>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</si>
  <si>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</si>
  <si>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</si>
  <si>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</si>
  <si>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</si>
  <si>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</si>
  <si>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</si>
  <si>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</si>
  <si>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</si>
  <si>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</si>
  <si>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</si>
  <si>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</si>
  <si>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</si>
  <si>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</si>
  <si>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</si>
  <si>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</si>
  <si>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</si>
  <si>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</si>
  <si>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</si>
  <si>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</si>
  <si>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</si>
  <si>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</si>
  <si>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</si>
  <si>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</si>
  <si>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</si>
  <si>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</si>
  <si>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</si>
  <si>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</si>
  <si>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</si>
  <si>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</si>
  <si>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</si>
  <si>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</si>
  <si>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</si>
  <si>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</si>
  <si>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</si>
  <si>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</si>
  <si>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</si>
  <si>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</si>
  <si>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</si>
  <si>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</si>
  <si>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</si>
  <si>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</si>
  <si>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</si>
  <si>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</si>
  <si>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</si>
  <si>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</si>
  <si>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</si>
  <si>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</si>
  <si>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</si>
  <si>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</si>
  <si>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</si>
  <si>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</si>
  <si>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</si>
  <si>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</si>
  <si>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</si>
  <si>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</si>
  <si>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</si>
  <si>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</si>
  <si>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</si>
  <si>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</si>
  <si>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</si>
  <si>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</si>
  <si>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</si>
  <si>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</si>
  <si>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</si>
  <si>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</si>
  <si>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</si>
  <si>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</si>
  <si>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</si>
  <si>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</si>
  <si>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</si>
  <si>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</si>
  <si>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</si>
  <si>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</si>
  <si>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</si>
  <si>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</si>
  <si>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</si>
  <si>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</si>
  <si>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</si>
  <si>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</si>
  <si>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</si>
  <si>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</si>
  <si>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</si>
  <si>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</si>
  <si>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</si>
  <si>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</si>
  <si>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</si>
  <si>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</si>
  <si>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</si>
  <si>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</si>
  <si>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</si>
  <si>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</si>
  <si>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</si>
  <si>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</si>
  <si>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</si>
  <si>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</si>
  <si>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</si>
  <si>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</si>
  <si>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</si>
  <si>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</si>
  <si>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</si>
  <si>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</si>
  <si>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</si>
  <si>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</si>
  <si>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</si>
  <si>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</si>
  <si>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</si>
  <si>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</si>
  <si>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</si>
  <si>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</si>
  <si>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</si>
  <si>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</si>
  <si>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</si>
  <si>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</si>
  <si>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</si>
  <si>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</si>
  <si>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</si>
  <si>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</si>
  <si>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</si>
  <si>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</si>
  <si>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</si>
  <si>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</si>
  <si>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</si>
  <si>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</si>
  <si>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</si>
  <si>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</si>
  <si>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</si>
  <si>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</si>
  <si>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</si>
  <si>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</si>
  <si>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</si>
  <si>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</si>
  <si>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</si>
  <si>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</si>
  <si>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</si>
  <si>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</si>
  <si>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</si>
  <si>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</si>
  <si>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</si>
  <si>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</si>
  <si>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</si>
  <si>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</si>
  <si>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</si>
  <si>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</si>
  <si>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</si>
  <si>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</si>
  <si>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</si>
  <si>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</si>
  <si>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</si>
  <si>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</si>
  <si>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</si>
  <si>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</si>
  <si>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</si>
  <si>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</si>
  <si>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</si>
  <si>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</si>
  <si>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</si>
  <si>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</si>
  <si>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</si>
  <si>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</si>
  <si>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</si>
  <si>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</si>
  <si>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</si>
  <si>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</si>
  <si>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</si>
  <si>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</si>
  <si>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</si>
  <si>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</si>
  <si>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</si>
  <si>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</si>
  <si>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</si>
  <si>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</si>
  <si>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</si>
  <si>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</si>
  <si>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</si>
  <si>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</si>
  <si>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</si>
  <si>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</si>
  <si>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</si>
  <si>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</si>
  <si>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</si>
  <si>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</si>
  <si>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</si>
  <si>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</si>
  <si>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</si>
  <si>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</si>
  <si>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</si>
  <si>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</si>
  <si>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</si>
  <si>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</si>
  <si>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</si>
  <si>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</si>
  <si>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</si>
  <si>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</si>
  <si>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</si>
  <si>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</si>
  <si>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</si>
  <si>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</si>
  <si>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</si>
  <si>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</si>
  <si>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</si>
  <si>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</si>
  <si>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</si>
  <si>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</si>
  <si>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</si>
  <si>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</si>
  <si>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</si>
  <si>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</si>
  <si>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</si>
  <si>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</si>
  <si>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</si>
  <si>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</si>
  <si>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</si>
  <si>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</si>
  <si>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</si>
  <si>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</si>
  <si>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</si>
  <si>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</si>
  <si>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</si>
  <si>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</si>
  <si>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</si>
  <si>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</si>
  <si>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</si>
  <si>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</si>
  <si>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</si>
  <si>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</si>
  <si>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</si>
  <si>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</si>
  <si>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</si>
  <si>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</si>
  <si>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</si>
  <si>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</si>
  <si>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</si>
  <si>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</si>
  <si>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</si>
  <si>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</si>
  <si>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</si>
  <si>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</si>
  <si>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</si>
  <si>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</si>
  <si>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</si>
  <si>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</si>
  <si>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</si>
  <si>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</si>
  <si>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</si>
  <si>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</si>
  <si>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</si>
  <si>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</si>
  <si>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</si>
  <si>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</si>
  <si>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</si>
  <si>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</si>
  <si>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</si>
  <si>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</si>
  <si>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</si>
  <si>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</si>
  <si>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</si>
  <si>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</si>
  <si>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</si>
  <si>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</si>
  <si>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</si>
  <si>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</si>
  <si>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</si>
  <si>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</si>
  <si>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</si>
  <si>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</si>
  <si>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</si>
  <si>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</si>
  <si>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</si>
  <si>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</si>
  <si>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</si>
  <si>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</si>
  <si>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</si>
  <si>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</si>
  <si>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</si>
  <si>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</si>
  <si>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</si>
  <si>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</si>
  <si>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</si>
  <si>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</si>
  <si>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</si>
  <si>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</si>
  <si>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</si>
  <si>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</si>
  <si>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</si>
  <si>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</si>
  <si>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</si>
  <si>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</si>
  <si>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</si>
  <si>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</si>
  <si>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</si>
  <si>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</si>
  <si>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</si>
  <si>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</si>
  <si>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</si>
  <si>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</si>
  <si>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</si>
  <si>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</si>
  <si>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</si>
  <si>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</si>
  <si>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</si>
  <si>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</si>
  <si>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</si>
  <si>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</si>
  <si>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</si>
  <si>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</si>
  <si>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</si>
  <si>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</si>
  <si>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</si>
  <si>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</si>
  <si>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</si>
  <si>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</si>
  <si>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</si>
  <si>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</si>
  <si>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</si>
  <si>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</si>
  <si>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</si>
  <si>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</si>
  <si>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</si>
  <si>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</si>
  <si>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</si>
  <si>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</si>
  <si>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</si>
  <si>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</si>
  <si>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</si>
  <si>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</si>
  <si>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</si>
  <si>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</si>
  <si>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</si>
  <si>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</si>
  <si>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</si>
  <si>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</si>
  <si>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</si>
  <si>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</si>
  <si>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</si>
  <si>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</si>
  <si>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</si>
  <si>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</si>
  <si>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</si>
  <si>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</si>
  <si>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</si>
  <si>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</si>
  <si>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</si>
  <si>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</si>
  <si>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</si>
  <si>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</si>
  <si>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</si>
  <si>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</si>
  <si>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</si>
  <si>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</si>
  <si>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</si>
  <si>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</si>
  <si>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</si>
  <si>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</si>
  <si>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</si>
  <si>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</si>
  <si>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</si>
  <si>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</si>
  <si>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</si>
  <si>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</si>
  <si>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</si>
  <si>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</si>
  <si>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</si>
  <si>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</si>
  <si>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</si>
  <si>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</si>
  <si>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</si>
  <si>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</si>
  <si>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</si>
  <si>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</si>
  <si>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</si>
  <si>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</si>
  <si>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</si>
  <si>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</si>
  <si>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</si>
  <si>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</si>
  <si>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</si>
  <si>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</si>
  <si>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</si>
  <si>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</si>
  <si>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</si>
  <si>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</si>
  <si>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</si>
  <si>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</si>
  <si>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</si>
  <si>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</si>
  <si>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</si>
  <si>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</si>
  <si>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</si>
  <si>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</si>
  <si>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</si>
  <si>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</si>
  <si>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</si>
  <si>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</si>
  <si>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</si>
  <si>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</si>
  <si>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</si>
  <si>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</si>
  <si>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</si>
  <si>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</si>
  <si>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</si>
  <si>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</si>
  <si>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</si>
  <si>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</si>
  <si>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</si>
  <si>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</si>
  <si>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</si>
  <si>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</si>
  <si>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</si>
  <si>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</si>
  <si>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</si>
  <si>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</si>
  <si>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</si>
  <si>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</si>
  <si>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</si>
  <si>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</si>
  <si>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</si>
  <si>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</si>
  <si>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</si>
  <si>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</si>
  <si>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</si>
  <si>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</si>
  <si>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</si>
  <si>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</si>
  <si>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</si>
  <si>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</si>
  <si>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</si>
  <si>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</si>
  <si>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</si>
  <si>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</si>
  <si>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</si>
  <si>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</si>
  <si>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</si>
  <si>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</si>
  <si>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</si>
  <si>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</si>
  <si>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</si>
  <si>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</si>
  <si>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</si>
  <si>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</si>
  <si>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</si>
  <si>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</si>
  <si>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</si>
  <si>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</si>
  <si>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</si>
  <si>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</si>
  <si>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</si>
  <si>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</si>
  <si>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</si>
  <si>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</si>
  <si>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</si>
  <si>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</si>
  <si>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</si>
  <si>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</si>
  <si>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</si>
  <si>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</si>
  <si>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</si>
  <si>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</si>
  <si>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</si>
  <si>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</si>
  <si>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</si>
  <si>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</si>
  <si>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</si>
  <si>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</si>
  <si>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</si>
  <si>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</si>
  <si>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</si>
  <si>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</si>
  <si>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</si>
  <si>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</si>
  <si>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</si>
  <si>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</si>
  <si>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</si>
  <si>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</si>
  <si>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</si>
  <si>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</si>
  <si>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</si>
  <si>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</si>
  <si>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</si>
  <si>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</si>
  <si>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</si>
  <si>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</si>
  <si>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</si>
  <si>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</si>
  <si>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</si>
  <si>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</si>
  <si>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</si>
  <si>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</si>
  <si>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</si>
  <si>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</si>
  <si>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</si>
  <si>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</si>
  <si>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</si>
  <si>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</si>
  <si>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</si>
  <si>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</si>
  <si>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</si>
  <si>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</si>
  <si>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</si>
  <si>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</si>
  <si>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</si>
  <si>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</si>
  <si>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</si>
  <si>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</si>
  <si>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</si>
  <si>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</si>
  <si>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</si>
  <si>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</si>
  <si>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</si>
  <si>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</si>
  <si>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</si>
  <si>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</si>
  <si>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</si>
  <si>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</si>
  <si>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</si>
  <si>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</si>
  <si>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</si>
  <si>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</si>
  <si>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</si>
  <si>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</si>
  <si>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</si>
  <si>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</si>
  <si>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</si>
  <si>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</si>
  <si>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</si>
  <si>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</si>
  <si>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</si>
  <si>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</si>
  <si>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</si>
  <si>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</si>
  <si>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</si>
  <si>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</si>
  <si>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</si>
  <si>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</si>
  <si>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</si>
  <si>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</si>
  <si>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</si>
  <si>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</si>
  <si>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</si>
  <si>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</si>
  <si>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</si>
  <si>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</si>
  <si>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</si>
  <si>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</si>
  <si>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</si>
  <si>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</si>
  <si>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</si>
  <si>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</si>
  <si>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</si>
  <si>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</si>
  <si>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</si>
  <si>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</si>
  <si>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</si>
  <si>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</si>
  <si>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</si>
  <si>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</si>
  <si>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</si>
  <si>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</si>
  <si>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</si>
  <si>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</si>
  <si>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</si>
  <si>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</si>
  <si>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</si>
  <si>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</si>
  <si>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</si>
  <si>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</si>
  <si>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</si>
  <si>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</si>
  <si>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</si>
  <si>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</si>
  <si>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</si>
  <si>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</si>
  <si>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</si>
  <si>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</si>
  <si>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</si>
  <si>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</si>
  <si>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</si>
  <si>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</si>
  <si>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</si>
  <si>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</si>
  <si>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</si>
  <si>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</si>
  <si>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</si>
  <si>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</si>
  <si>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</si>
  <si>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</si>
  <si>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</si>
  <si>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</si>
  <si>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</si>
  <si>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</si>
  <si>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</si>
  <si>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</si>
  <si>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</si>
  <si>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</si>
  <si>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</si>
  <si>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</si>
  <si>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</si>
  <si>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</si>
  <si>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</si>
  <si>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</si>
  <si>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</si>
  <si>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</si>
  <si>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</si>
  <si>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</si>
  <si>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</si>
  <si>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</si>
  <si>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</si>
  <si>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</si>
  <si>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</si>
  <si>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</si>
  <si>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</si>
  <si>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</si>
  <si>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</si>
  <si>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</si>
  <si>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</si>
  <si>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</si>
  <si>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</si>
  <si>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</si>
  <si>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</si>
  <si>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</si>
  <si>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</si>
  <si>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</si>
  <si>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</si>
  <si>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</si>
  <si>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</si>
  <si>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</si>
  <si>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</si>
  <si>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</si>
  <si>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</si>
  <si>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</si>
  <si>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</si>
  <si>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</si>
  <si>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</si>
  <si>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</si>
  <si>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</si>
  <si>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</si>
  <si>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</si>
  <si>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</si>
  <si>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</si>
  <si>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</si>
  <si>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</si>
  <si>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</si>
  <si>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</si>
  <si>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</si>
  <si>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</si>
  <si>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</si>
  <si>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</si>
  <si>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</si>
  <si>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</si>
  <si>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</si>
  <si>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</si>
  <si>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</si>
  <si>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</si>
  <si>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</si>
  <si>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</si>
  <si>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</si>
  <si>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</si>
  <si>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</si>
  <si>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</si>
  <si>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</si>
  <si>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</si>
  <si>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</si>
  <si>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</si>
  <si>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</si>
  <si>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</si>
  <si>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</si>
  <si>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</si>
  <si>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</si>
  <si>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</si>
  <si>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</si>
  <si>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</si>
  <si>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</si>
  <si>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</si>
  <si>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</si>
  <si>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</si>
  <si>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</si>
  <si>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</si>
  <si>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</si>
  <si>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</si>
  <si>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</si>
  <si>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</si>
  <si>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</si>
  <si>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</si>
  <si>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</si>
  <si>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</si>
  <si>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</si>
  <si>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</si>
  <si>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</si>
  <si>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</si>
  <si>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</si>
  <si>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</si>
  <si>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</si>
  <si>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</si>
  <si>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</si>
  <si>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</si>
  <si>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</si>
  <si>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</si>
  <si>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</si>
  <si>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</si>
  <si>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</si>
  <si>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</si>
  <si>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</si>
  <si>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</si>
  <si>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</si>
  <si>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</si>
  <si>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</si>
  <si>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</si>
  <si>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</si>
  <si>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</si>
  <si>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</si>
  <si>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</si>
  <si>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</si>
  <si>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</si>
  <si>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</si>
  <si>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</si>
  <si>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</si>
  <si>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</si>
  <si>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</si>
  <si>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</si>
  <si>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</si>
  <si>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</si>
  <si>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</si>
  <si>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</si>
  <si>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</si>
  <si>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</si>
  <si>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</si>
  <si>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</si>
  <si>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</si>
  <si>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</si>
  <si>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</si>
  <si>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</si>
  <si>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</si>
  <si>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</si>
  <si>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</si>
  <si>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</si>
  <si>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</si>
  <si>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</si>
  <si>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</si>
  <si>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</si>
  <si>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</si>
  <si>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</si>
  <si>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</si>
  <si>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</si>
  <si>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</si>
  <si>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</si>
  <si>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</si>
  <si>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</si>
  <si>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</si>
  <si>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</si>
  <si>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</si>
  <si>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</si>
  <si>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</si>
  <si>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</si>
  <si>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</si>
  <si>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</si>
  <si>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</si>
  <si>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</si>
  <si>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</si>
  <si>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</si>
  <si>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</si>
  <si>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</si>
  <si>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</si>
  <si>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</si>
  <si>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</si>
  <si>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</si>
  <si>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</si>
  <si>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</si>
  <si>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</si>
  <si>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</si>
  <si>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</si>
  <si>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</si>
  <si>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</si>
  <si>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</si>
  <si>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</si>
  <si>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</si>
  <si>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</si>
  <si>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</si>
  <si>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</si>
  <si>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</si>
  <si>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</si>
  <si>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</si>
  <si>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</si>
  <si>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</si>
  <si>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</si>
  <si>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</si>
  <si>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</si>
  <si>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</si>
  <si>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</si>
  <si>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</si>
  <si>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</si>
  <si>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</si>
  <si>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</si>
  <si>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</si>
  <si>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</si>
  <si>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</si>
  <si>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</si>
  <si>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</si>
  <si>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</si>
  <si>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</si>
  <si>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</si>
  <si>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</si>
  <si>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</si>
  <si>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</si>
  <si>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</si>
  <si>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</si>
  <si>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</si>
  <si>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</si>
  <si>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</si>
  <si>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</si>
  <si>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</si>
  <si>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</si>
  <si>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</si>
  <si>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</si>
  <si>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</si>
  <si>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</si>
  <si>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</si>
  <si>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</si>
  <si>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</si>
  <si>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</si>
  <si>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</si>
  <si>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</si>
  <si>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</si>
  <si>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</si>
  <si>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</si>
  <si>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</si>
  <si>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</si>
  <si>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</si>
  <si>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</si>
  <si>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</si>
  <si>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</si>
  <si>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</si>
  <si>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</si>
  <si>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</si>
  <si>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</si>
  <si>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</si>
  <si>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</si>
  <si>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</si>
  <si>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</si>
  <si>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</si>
  <si>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</si>
  <si>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</si>
  <si>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</si>
  <si>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</si>
  <si>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</si>
  <si>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</si>
  <si>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</si>
  <si>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</si>
  <si>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</si>
  <si>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</si>
  <si>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</si>
  <si>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</si>
  <si>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</si>
  <si>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</si>
  <si>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</si>
  <si>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</si>
  <si>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</si>
  <si>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</si>
  <si>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</si>
  <si>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</si>
  <si>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</si>
  <si>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</si>
  <si>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</si>
  <si>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</si>
  <si>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</si>
  <si>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</si>
  <si>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</si>
  <si>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</si>
  <si>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</si>
  <si>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</si>
  <si>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</si>
  <si>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</si>
  <si>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</si>
  <si>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</si>
  <si>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</si>
  <si>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</si>
  <si>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</si>
  <si>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</si>
  <si>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</si>
  <si>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</si>
  <si>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</si>
  <si>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</si>
  <si>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</si>
  <si>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</si>
  <si>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</si>
  <si>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</si>
  <si>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</si>
  <si>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</si>
  <si>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</si>
  <si>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</si>
  <si>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</si>
  <si>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</si>
  <si>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</si>
  <si>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</si>
  <si>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</si>
  <si>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</si>
  <si>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</si>
  <si>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</si>
  <si>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</si>
  <si>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</si>
  <si>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</si>
  <si>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</si>
  <si>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</si>
  <si>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</si>
  <si>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</si>
  <si>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</si>
  <si>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</si>
  <si>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</si>
  <si>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</si>
  <si>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</si>
  <si>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</si>
  <si>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</si>
  <si>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</si>
  <si>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</si>
  <si>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</si>
  <si>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</si>
  <si>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</si>
  <si>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</si>
  <si>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</si>
  <si>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</si>
  <si>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</si>
  <si>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</si>
  <si>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</si>
  <si>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</si>
  <si>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</si>
  <si>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</si>
  <si>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</si>
  <si>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</si>
  <si>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</si>
  <si>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</si>
  <si>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</si>
  <si>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</si>
  <si>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</si>
  <si>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</si>
  <si>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</si>
  <si>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</si>
  <si>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</si>
  <si>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</si>
  <si>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</si>
  <si>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</si>
  <si>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</si>
  <si>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</si>
  <si>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</si>
  <si>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</si>
  <si>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</si>
  <si>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</si>
  <si>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</si>
  <si>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</si>
  <si>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</si>
  <si>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</si>
  <si>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</si>
  <si>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</si>
  <si>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</si>
  <si>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</si>
  <si>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</si>
  <si>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</si>
  <si>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</si>
  <si>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</si>
  <si>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</si>
  <si>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</si>
  <si>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</si>
  <si>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</si>
  <si>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</si>
  <si>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</si>
  <si>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</si>
  <si>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</si>
  <si>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</si>
  <si>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</si>
  <si>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</si>
  <si>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</si>
  <si>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</si>
  <si>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</si>
  <si>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</si>
  <si>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</si>
  <si>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</si>
  <si>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</si>
  <si>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</si>
  <si>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</si>
  <si>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</si>
  <si>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</si>
  <si>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</si>
  <si>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</si>
  <si>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</si>
  <si>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</si>
  <si>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</si>
  <si>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</si>
  <si>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</si>
  <si>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</si>
  <si>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</si>
  <si>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</si>
  <si>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</si>
  <si>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</si>
  <si>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</si>
  <si>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</si>
  <si>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</si>
  <si>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</si>
  <si>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</si>
  <si>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</si>
  <si>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</si>
  <si>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</si>
  <si>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</si>
  <si>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</si>
  <si>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</si>
  <si>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</si>
  <si>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</si>
  <si>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</si>
  <si>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</si>
  <si>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</si>
  <si>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</si>
  <si>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</si>
  <si>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</si>
  <si>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</si>
  <si>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</si>
  <si>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</si>
  <si>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</si>
  <si>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</si>
  <si>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</si>
  <si>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</si>
  <si>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</si>
  <si>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</si>
  <si>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</si>
  <si>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</si>
  <si>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</si>
  <si>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</si>
  <si>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</si>
  <si>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</si>
  <si>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</si>
  <si>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</si>
  <si>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</si>
  <si>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</si>
  <si>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</si>
  <si>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</si>
  <si>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</si>
  <si>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</si>
  <si>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</si>
  <si>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</si>
  <si>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</si>
  <si>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</si>
  <si>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</si>
  <si>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</si>
  <si>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</si>
  <si>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</si>
  <si>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</si>
  <si>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</si>
  <si>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</si>
  <si>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</si>
  <si>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</si>
  <si>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</si>
  <si>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</si>
  <si>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</si>
  <si>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</si>
  <si>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</si>
  <si>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</si>
  <si>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</si>
  <si>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</si>
  <si>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</si>
  <si>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</si>
  <si>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</si>
  <si>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</si>
  <si>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</si>
  <si>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</si>
  <si>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</si>
  <si>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</si>
  <si>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</si>
  <si>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</si>
  <si>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</si>
  <si>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</si>
  <si>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</si>
  <si>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</si>
  <si>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</si>
  <si>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</si>
  <si>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</si>
  <si>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</si>
  <si>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</si>
  <si>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</si>
  <si>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</si>
  <si>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</si>
  <si>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</si>
  <si>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</si>
  <si>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</si>
  <si>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</si>
  <si>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</si>
  <si>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</si>
  <si>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</si>
  <si>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</si>
  <si>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</si>
  <si>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</si>
  <si>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</si>
  <si>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</si>
  <si>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</si>
  <si>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</si>
  <si>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</si>
  <si>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</si>
  <si>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</si>
  <si>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</si>
  <si>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</si>
  <si>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</si>
  <si>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</si>
  <si>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</si>
  <si>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</si>
  <si>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</si>
  <si>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</si>
  <si>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2022</t>
  </si>
  <si>
    <t>Feb</t>
  </si>
  <si>
    <t>Mar</t>
  </si>
  <si>
    <t>Apr</t>
  </si>
  <si>
    <t>May</t>
  </si>
  <si>
    <t>Jun</t>
  </si>
  <si>
    <t>Jul</t>
  </si>
  <si>
    <t>Aug</t>
  </si>
  <si>
    <t>Years (Order Date)</t>
  </si>
  <si>
    <t>Months (Order Date)</t>
  </si>
  <si>
    <t>Roast Type Name</t>
  </si>
  <si>
    <t>Coffee Type Name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</si>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</sst>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d\-mm\-yyyy"/>
  </numFmts>
  <fonts count="3" x14ac:knownFonts="1">
    <font>
      <sz val="11"/>
      <color theme="1"/>
      <name val="Calibri"/>
      <family val="2"/>
      <scheme val="minor"/>
    </font>
    <font>
      <sz val="11"/>
      <color indexed="8"/>
      <name val="Calibri"/>
      <family val="2"/>
    </font>
    <font>
      <sz val="11"/>
      <color rgb="FF3C14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4" fontId="1" fillId="0" borderId="0" xfId="0" applyNumberFormat="1" applyFont="1" applyAlignment="1">
      <alignment vertical="center"/>
    </xf>
    <xf numFmtId="0" fontId="0" fillId="0" borderId="0" xfId="0" pivotButton="1"/>
    <xf numFmtId="1" fontId="0" fillId="0" borderId="0" xfId="0" applyNumberFormat="1"/>
    <xf numFmtId="0" fontId="2" fillId="0" borderId="0" xfId="0" applyFont="1"/>
  </cellXfs>
  <cellStyles count="1">
    <cellStyle name="Normal" xfId="0" builtinId="0"/>
  </cellStyles>
  <dxfs count="14">
    <dxf>
      <font>
        <sz val="11"/>
        <color theme="1"/>
      </font>
      <fill>
        <patternFill>
          <bgColor theme="0"/>
        </patternFill>
      </fill>
    </dxf>
    <dxf>
      <fill>
        <patternFill>
          <bgColor rgb="FF3C1464"/>
        </patternFill>
      </fill>
    </dxf>
    <dxf>
      <numFmt numFmtId="0" formatCode="General"/>
    </dxf>
    <dxf>
      <font>
        <sz val="11"/>
        <color rgb="FF3C1464"/>
        <name val="Calibri"/>
        <family val="2"/>
        <scheme val="minor"/>
      </font>
      <fill>
        <patternFill>
          <bgColor rgb="FF3C1464"/>
        </patternFill>
      </fill>
    </dxf>
    <dxf>
      <font>
        <b val="0"/>
        <i val="0"/>
        <sz val="11"/>
        <color rgb="FF3C1464"/>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3" xr9:uid="{FA733823-C133-4EDF-BEEB-7BA0BCEFE9F5}">
      <tableStyleElement type="wholeTable" dxfId="1"/>
      <tableStyleElement type="headerRow" dxfId="0"/>
    </tableStyle>
    <tableStyle name="Purple Timeline" pivot="0" table="0" count="9" xr9:uid="{F8A5A1B5-0FAF-4A6E-B9C6-72A9C9B57FCE}">
      <tableStyleElement type="wholeTable" dxfId="4"/>
      <tableStyleElement type="headerRow" dxfId="3"/>
    </tableStyle>
  </tableStyles>
  <colors>
    <mruColors>
      <color rgb="FF3C1464"/>
      <color rgb="FFDBC3F3"/>
    </mruColors>
  </colors>
  <extLst>
    <ext xmlns:x14="http://schemas.microsoft.com/office/spreadsheetml/2009/9/main" uri="{46F421CA-312F-682f-3DD2-61675219B42D}">
      <x14:dxfs count="2">
        <dxf>
          <font>
            <b val="0"/>
            <i val="0"/>
            <sz val="11"/>
            <color theme="0"/>
          </font>
        </dxf>
        <dxf>
          <font>
            <b val="0"/>
            <i val="0"/>
            <sz val="11"/>
            <color theme="0"/>
          </font>
        </dxf>
      </x14:dxfs>
    </ext>
    <ext xmlns:x14="http://schemas.microsoft.com/office/spreadsheetml/2009/9/main" uri="{EB79DEF2-80B8-43e5-95BD-54CBDDF9020C}">
      <x14:slicerStyles defaultSlicerStyle="Purple Slicer">
        <x14:slicerStyle name="Purple Slicer">
          <x14:slicerStyleElements>
            <x14:slicerStyleElement type="selectedItemWithData" dxfId="0"/>
          </x14:slicerStyleElements>
        </x14:slicerStyle>
      </x14:slicerStyles>
    </ext>
    <ext xmlns:x15="http://schemas.microsoft.com/office/spreadsheetml/2010/11/main" uri="{A0A4C193-F2C1-4fcb-8827-314CF55A85BB}">
      <x15:dxfs count="28">
        <dxf>
          <fill>
            <patternFill>
              <bgColor theme="0"/>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dxf>
          <font>
            <sz val="11"/>
            <color theme="0"/>
            <name val="Calibri"/>
            <family val="2"/>
            <scheme val="minor"/>
          </font>
        </dxf>
        <dxf>
          <font>
            <sz val="11"/>
            <color theme="0"/>
            <name val="Calibri"/>
            <family val="2"/>
            <scheme val="minor"/>
          </font>
        </dxf>
        <dxf>
          <font>
            <sz val="11"/>
            <color theme="0"/>
            <name val="Calibri"/>
            <family val="2"/>
            <scheme val="minor"/>
          </font>
        </dxf>
        <dxf>
          <font>
            <sz val="11"/>
            <color rgb="FF3C1464"/>
            <name val="Calibri"/>
            <family val="2"/>
            <scheme val="minor"/>
          </font>
        </dxf>
        <dxf>
          <fill>
            <patternFill>
              <bgColor theme="0"/>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dxf>
          <font>
            <sz val="11"/>
            <color theme="0"/>
            <name val="Calibri"/>
            <family val="2"/>
            <scheme val="minor"/>
          </font>
        </dxf>
        <dxf>
          <font>
            <sz val="11"/>
            <color theme="0"/>
            <name val="Calibri"/>
            <family val="2"/>
            <scheme val="minor"/>
          </font>
        </dxf>
        <dxf>
          <font>
            <sz val="11"/>
            <color theme="0"/>
            <name val="Calibri"/>
            <family val="2"/>
            <scheme val="minor"/>
          </font>
        </dxf>
        <dxf>
          <font>
            <sz val="11"/>
            <color theme="0"/>
            <name val="Calibri"/>
            <family val="2"/>
            <scheme val="minor"/>
          </font>
        </dxf>
        <dxf>
          <fill>
            <patternFill>
              <bgColor theme="0"/>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dxf>
          <font>
            <sz val="11"/>
            <color theme="0"/>
            <name val="Calibri"/>
            <family val="2"/>
            <scheme val="minor"/>
          </font>
        </dxf>
        <dxf>
          <font>
            <sz val="11"/>
            <color theme="0"/>
            <name val="Calibri"/>
            <family val="2"/>
            <scheme val="minor"/>
          </font>
        </dxf>
        <dxf>
          <font>
            <sz val="11"/>
            <color theme="0"/>
            <name val="Calibri"/>
            <family val="2"/>
            <scheme val="minor"/>
          </font>
        </dxf>
        <dxf>
          <font>
            <sz val="11"/>
            <color theme="0"/>
            <name val="Calibri"/>
            <family val="2"/>
            <scheme val="minor"/>
          </font>
        </dxf>
        <dxf>
          <fill>
            <patternFill>
              <bgColor theme="0"/>
            </patternFill>
          </fill>
        </dxf>
        <dxf>
          <font>
            <sz val="11"/>
            <color theme="0"/>
            <name val="Calibri"/>
            <family val="2"/>
            <scheme val="minor"/>
          </font>
        </dxf>
        <dxf>
          <font>
            <sz val="11"/>
            <color theme="0"/>
            <name val="Calibri"/>
            <family val="2"/>
            <scheme val="minor"/>
          </font>
        </dxf>
        <dxf>
          <font>
            <sz val="11"/>
            <color theme="0"/>
            <name val="Calibri"/>
            <family val="2"/>
            <scheme val="minor"/>
          </font>
        </dxf>
        <dxf>
          <font>
            <sz val="11"/>
            <color theme="0"/>
            <name val="Calibri"/>
            <family val="2"/>
            <scheme val="minor"/>
          </font>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[coffeeOrdersData.xlsx]Sheet1!Total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Sales</a:t>
            </a:r>
            <a:r>
              <a:rPr lang="en-ZW" baseline="0"/>
              <a:t> Over Time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ln w="28575" cap="rnd">
            <a:solidFill>
              <a:schemeClr val="accent2">
                <a:lumMod val="75000"/>
              </a:schemeClr>
            </a:solidFill>
            <a:round/>
          </a:ln>
          <a:effectLst/>
        </c:spPr>
        <c:marker>
          <c:symbol val="none"/>
        </c:marker>
      </c:pivotFmt>
    </c:pivotFmts>
    <c:plotArea>
      <c:layout/>
      <c:lineChart>
        <c:grouping val="standard"/>
        <c:varyColors val="0"/>
        <c:ser>
          <c:idx val="0"/>
          <c:order val="0"/>
          <c:tx>
            <c:strRef>
              <c:f>Sheet1!$C$3:$C$4</c:f>
              <c:strCache>
                <c:ptCount val="1"/>
                <c:pt idx="0">
                  <c:v>Arabica</c:v>
                </c:pt>
              </c:strCache>
            </c:strRef>
          </c:tx>
          <c:spPr>
            <a:ln w="28575" cap="rnd">
              <a:solidFill>
                <a:schemeClr val="accent1"/>
              </a:solidFill>
              <a:round/>
            </a:ln>
            <a:effectLst/>
          </c:spPr>
          <c:marker>
            <c:symbol val="none"/>
          </c:marker>
          <c:cat>
            <c:multiLvlStrRef>
              <c:f>Sheet1!$A$5:$B$11</c:f>
              <c:multiLvlStrCache>
                <c:ptCount val="7"/>
                <c:lvl>
                  <c:pt idx="0">
                    <c:v>Feb</c:v>
                  </c:pt>
                  <c:pt idx="1">
                    <c:v>Mar</c:v>
                  </c:pt>
                  <c:pt idx="2">
                    <c:v>Apr</c:v>
                  </c:pt>
                  <c:pt idx="3">
                    <c:v>May</c:v>
                  </c:pt>
                  <c:pt idx="4">
                    <c:v>Jun</c:v>
                  </c:pt>
                  <c:pt idx="5">
                    <c:v>Jul</c:v>
                  </c:pt>
                  <c:pt idx="6">
                    <c:v>Aug</c:v>
                  </c:pt>
                </c:lvl>
                <c:lvl>
                  <c:pt idx="0">
                    <c:v>2022</c:v>
                  </c:pt>
                </c:lvl>
              </c:multiLvlStrCache>
            </c:multiLvlStrRef>
          </c:cat>
          <c:val>
            <c:numRef>
              <c:f>Sheet1!$C$5:$C$11</c:f>
              <c:numCache>
                <c:formatCode>0</c:formatCode>
                <c:ptCount val="7"/>
                <c:pt idx="0">
                  <c:v>11.94</c:v>
                </c:pt>
                <c:pt idx="1">
                  <c:v>44.984999999999999</c:v>
                </c:pt>
                <c:pt idx="2">
                  <c:v>10.754999999999999</c:v>
                </c:pt>
                <c:pt idx="4">
                  <c:v>17.91</c:v>
                </c:pt>
              </c:numCache>
            </c:numRef>
          </c:val>
          <c:smooth val="0"/>
          <c:extLst>
            <c:ext xmlns:c16="http://schemas.microsoft.com/office/drawing/2014/chart" uri="{C3380CC4-5D6E-409C-BE32-E72D297353CC}">
              <c16:uniqueId val="{00000010-E39E-49B2-803D-F3A491F4F644}"/>
            </c:ext>
          </c:extLst>
        </c:ser>
        <c:ser>
          <c:idx val="1"/>
          <c:order val="1"/>
          <c:tx>
            <c:strRef>
              <c:f>Sheet1!$D$3:$D$4</c:f>
              <c:strCache>
                <c:ptCount val="1"/>
                <c:pt idx="0">
                  <c:v>Excelsa</c:v>
                </c:pt>
              </c:strCache>
            </c:strRef>
          </c:tx>
          <c:spPr>
            <a:ln w="28575" cap="rnd">
              <a:solidFill>
                <a:schemeClr val="accent2"/>
              </a:solidFill>
              <a:round/>
            </a:ln>
            <a:effectLst/>
          </c:spPr>
          <c:marker>
            <c:symbol val="none"/>
          </c:marker>
          <c:cat>
            <c:multiLvlStrRef>
              <c:f>Sheet1!$A$5:$B$11</c:f>
              <c:multiLvlStrCache>
                <c:ptCount val="7"/>
                <c:lvl>
                  <c:pt idx="0">
                    <c:v>Feb</c:v>
                  </c:pt>
                  <c:pt idx="1">
                    <c:v>Mar</c:v>
                  </c:pt>
                  <c:pt idx="2">
                    <c:v>Apr</c:v>
                  </c:pt>
                  <c:pt idx="3">
                    <c:v>May</c:v>
                  </c:pt>
                  <c:pt idx="4">
                    <c:v>Jun</c:v>
                  </c:pt>
                  <c:pt idx="5">
                    <c:v>Jul</c:v>
                  </c:pt>
                  <c:pt idx="6">
                    <c:v>Aug</c:v>
                  </c:pt>
                </c:lvl>
                <c:lvl>
                  <c:pt idx="0">
                    <c:v>2022</c:v>
                  </c:pt>
                </c:lvl>
              </c:multiLvlStrCache>
            </c:multiLvlStrRef>
          </c:cat>
          <c:val>
            <c:numRef>
              <c:f>Sheet1!$D$5:$D$11</c:f>
              <c:numCache>
                <c:formatCode>0</c:formatCode>
                <c:ptCount val="7"/>
                <c:pt idx="0">
                  <c:v>4.125</c:v>
                </c:pt>
                <c:pt idx="1">
                  <c:v>3.645</c:v>
                </c:pt>
                <c:pt idx="2">
                  <c:v>26.73</c:v>
                </c:pt>
                <c:pt idx="3">
                  <c:v>11.745000000000001</c:v>
                </c:pt>
                <c:pt idx="4">
                  <c:v>66.825000000000003</c:v>
                </c:pt>
                <c:pt idx="5">
                  <c:v>29.16</c:v>
                </c:pt>
              </c:numCache>
            </c:numRef>
          </c:val>
          <c:smooth val="0"/>
          <c:extLst>
            <c:ext xmlns:c16="http://schemas.microsoft.com/office/drawing/2014/chart" uri="{C3380CC4-5D6E-409C-BE32-E72D297353CC}">
              <c16:uniqueId val="{00000011-E39E-49B2-803D-F3A491F4F644}"/>
            </c:ext>
          </c:extLst>
        </c:ser>
        <c:ser>
          <c:idx val="2"/>
          <c:order val="2"/>
          <c:tx>
            <c:strRef>
              <c:f>Sheet1!$E$3:$E$4</c:f>
              <c:strCache>
                <c:ptCount val="1"/>
                <c:pt idx="0">
                  <c:v>Liberica</c:v>
                </c:pt>
              </c:strCache>
            </c:strRef>
          </c:tx>
          <c:spPr>
            <a:ln w="28575" cap="rnd">
              <a:solidFill>
                <a:srgbClr val="FFFF00"/>
              </a:solidFill>
              <a:round/>
            </a:ln>
            <a:effectLst/>
          </c:spPr>
          <c:marker>
            <c:symbol val="none"/>
          </c:marker>
          <c:cat>
            <c:multiLvlStrRef>
              <c:f>Sheet1!$A$5:$B$11</c:f>
              <c:multiLvlStrCache>
                <c:ptCount val="7"/>
                <c:lvl>
                  <c:pt idx="0">
                    <c:v>Feb</c:v>
                  </c:pt>
                  <c:pt idx="1">
                    <c:v>Mar</c:v>
                  </c:pt>
                  <c:pt idx="2">
                    <c:v>Apr</c:v>
                  </c:pt>
                  <c:pt idx="3">
                    <c:v>May</c:v>
                  </c:pt>
                  <c:pt idx="4">
                    <c:v>Jun</c:v>
                  </c:pt>
                  <c:pt idx="5">
                    <c:v>Jul</c:v>
                  </c:pt>
                  <c:pt idx="6">
                    <c:v>Aug</c:v>
                  </c:pt>
                </c:lvl>
                <c:lvl>
                  <c:pt idx="0">
                    <c:v>2022</c:v>
                  </c:pt>
                </c:lvl>
              </c:multiLvlStrCache>
            </c:multiLvlStrRef>
          </c:cat>
          <c:val>
            <c:numRef>
              <c:f>Sheet1!$E$5:$E$11</c:f>
              <c:numCache>
                <c:formatCode>0</c:formatCode>
                <c:ptCount val="7"/>
                <c:pt idx="0">
                  <c:v>54.720000000000006</c:v>
                </c:pt>
                <c:pt idx="1">
                  <c:v>13.875</c:v>
                </c:pt>
                <c:pt idx="2">
                  <c:v>19.424999999999997</c:v>
                </c:pt>
                <c:pt idx="3">
                  <c:v>4.7549999999999999</c:v>
                </c:pt>
                <c:pt idx="5">
                  <c:v>13.095000000000001</c:v>
                </c:pt>
              </c:numCache>
            </c:numRef>
          </c:val>
          <c:smooth val="0"/>
          <c:extLst>
            <c:ext xmlns:c16="http://schemas.microsoft.com/office/drawing/2014/chart" uri="{C3380CC4-5D6E-409C-BE32-E72D297353CC}">
              <c16:uniqueId val="{00000012-E39E-49B2-803D-F3A491F4F644}"/>
            </c:ext>
          </c:extLst>
        </c:ser>
        <c:ser>
          <c:idx val="3"/>
          <c:order val="3"/>
          <c:tx>
            <c:strRef>
              <c:f>Sheet1!$F$3:$F$4</c:f>
              <c:strCache>
                <c:ptCount val="1"/>
                <c:pt idx="0">
                  <c:v>Robusta</c:v>
                </c:pt>
              </c:strCache>
            </c:strRef>
          </c:tx>
          <c:spPr>
            <a:ln w="28575" cap="rnd">
              <a:solidFill>
                <a:schemeClr val="accent4"/>
              </a:solidFill>
              <a:round/>
            </a:ln>
            <a:effectLst/>
          </c:spPr>
          <c:marker>
            <c:symbol val="none"/>
          </c:marker>
          <c:dPt>
            <c:idx val="2"/>
            <c:marker>
              <c:symbol val="none"/>
            </c:marker>
            <c:bubble3D val="0"/>
            <c:spPr>
              <a:ln w="28575" cap="rnd">
                <a:solidFill>
                  <a:schemeClr val="accent2">
                    <a:lumMod val="75000"/>
                  </a:schemeClr>
                </a:solidFill>
                <a:round/>
              </a:ln>
              <a:effectLst/>
            </c:spPr>
          </c:dPt>
          <c:cat>
            <c:multiLvlStrRef>
              <c:f>Sheet1!$A$5:$B$11</c:f>
              <c:multiLvlStrCache>
                <c:ptCount val="7"/>
                <c:lvl>
                  <c:pt idx="0">
                    <c:v>Feb</c:v>
                  </c:pt>
                  <c:pt idx="1">
                    <c:v>Mar</c:v>
                  </c:pt>
                  <c:pt idx="2">
                    <c:v>Apr</c:v>
                  </c:pt>
                  <c:pt idx="3">
                    <c:v>May</c:v>
                  </c:pt>
                  <c:pt idx="4">
                    <c:v>Jun</c:v>
                  </c:pt>
                  <c:pt idx="5">
                    <c:v>Jul</c:v>
                  </c:pt>
                  <c:pt idx="6">
                    <c:v>Aug</c:v>
                  </c:pt>
                </c:lvl>
                <c:lvl>
                  <c:pt idx="0">
                    <c:v>2022</c:v>
                  </c:pt>
                </c:lvl>
              </c:multiLvlStrCache>
            </c:multiLvlStrRef>
          </c:cat>
          <c:val>
            <c:numRef>
              <c:f>Sheet1!$F$5:$F$11</c:f>
              <c:numCache>
                <c:formatCode>0</c:formatCode>
                <c:ptCount val="7"/>
                <c:pt idx="0">
                  <c:v>17.91</c:v>
                </c:pt>
                <c:pt idx="1">
                  <c:v>16.724999999999998</c:v>
                </c:pt>
                <c:pt idx="3">
                  <c:v>50.189999999999991</c:v>
                </c:pt>
                <c:pt idx="5">
                  <c:v>26.279999999999998</c:v>
                </c:pt>
                <c:pt idx="6">
                  <c:v>25.68</c:v>
                </c:pt>
              </c:numCache>
            </c:numRef>
          </c:val>
          <c:smooth val="0"/>
          <c:extLst>
            <c:ext xmlns:c16="http://schemas.microsoft.com/office/drawing/2014/chart" uri="{C3380CC4-5D6E-409C-BE32-E72D297353CC}">
              <c16:uniqueId val="{00000013-E39E-49B2-803D-F3A491F4F644}"/>
            </c:ext>
          </c:extLst>
        </c:ser>
        <c:dLbls>
          <c:showLegendKey val="0"/>
          <c:showVal val="0"/>
          <c:showCatName val="0"/>
          <c:showSerName val="0"/>
          <c:showPercent val="0"/>
          <c:showBubbleSize val="0"/>
        </c:dLbls>
        <c:smooth val="0"/>
        <c:axId val="334919648"/>
        <c:axId val="334921568"/>
      </c:lineChart>
      <c:catAx>
        <c:axId val="3349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21568"/>
        <c:crosses val="autoZero"/>
        <c:auto val="1"/>
        <c:lblAlgn val="ctr"/>
        <c:lblOffset val="100"/>
        <c:noMultiLvlLbl val="0"/>
      </c:catAx>
      <c:valAx>
        <c:axId val="334921568"/>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1964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510540</xdr:colOff>
      <xdr:row>14</xdr:row>
      <xdr:rowOff>144780</xdr:rowOff>
    </xdr:from>
    <xdr:to>
      <xdr:col>16</xdr:col>
      <xdr:colOff>259080</xdr:colOff>
      <xdr:row>31</xdr:row>
      <xdr:rowOff>125730</xdr:rowOff>
    </xdr:to>
    <xdr:graphicFrame macro="">
      <xdr:nvGraphicFramePr>
        <xdr:cNvPr id="3" name="Sales over time">
          <a:extLst>
            <a:ext uri="{FF2B5EF4-FFF2-40B4-BE49-F238E27FC236}">
              <a16:creationId xmlns:a16="http://schemas.microsoft.com/office/drawing/2014/main" id="{1F345CE0-9103-8A3B-284A-F6EEB279F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586740</xdr:colOff>
      <xdr:row>5</xdr:row>
      <xdr:rowOff>30480</xdr:rowOff>
    </xdr:from>
    <xdr:to>
      <xdr:col>17</xdr:col>
      <xdr:colOff>274320</xdr:colOff>
      <xdr:row>12</xdr:row>
      <xdr:rowOff>121920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2EE81BD-111E-C51F-72D3-880FB98AEC3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707380" y="944880"/>
              <a:ext cx="6393180" cy="1371600"/>
            </a:xfrm>
            <a:prstGeom prst="rect">
              <a:avLst/>
            </a:prstGeom>
            <a:solidFill>
              <a:prstClr val="white"/>
            </a:solidFill>
            <a:ln w="1">
              <a:solidFill>
                <a:prstClr val="green"/>
              </a:solidFill>
            </a:ln>
          </xdr:spPr>
          <xdr:txBody>
            <a:bodyPr vertOverflow="clip" horzOverflow="clip"/>
            <a:lstStyle/>
            <a:p>
              <a:r>
                <a:rPr lang="en-ZW" sz="1100"/>
                <a:t>Timeline: Works in Excel 2013 or higher. Do not move or resize.</a:t>
              </a:r>
            </a:p>
          </xdr:txBody>
        </xdr:sp>
      </mc:Fallback>
    </mc:AlternateContent>
    <xdr:clientData/>
  </xdr:twoCellAnchor>
  <xdr:twoCellAnchor editAs="oneCell">
    <xdr:from>
      <xdr:col>7</xdr:col>
      <xdr:colOff>91440</xdr:colOff>
      <xdr:row>1</xdr:row>
      <xdr:rowOff>106680</xdr:rowOff>
    </xdr:from>
    <xdr:to>
      <xdr:col>10</xdr:col>
      <xdr:colOff>91440</xdr:colOff>
      <xdr:row>15</xdr:row>
      <xdr:rowOff>13335</xdr:rowOff>
    </xdr:to>
    <mc:AlternateContent xmlns:mc="http://schemas.openxmlformats.org/markup-compatibility/2006">
      <mc:Choice xmlns:a14="http://schemas.microsoft.com/office/drawing/2010/main" Requires="a14">
        <xdr:graphicFrame macro="">
          <xdr:nvGraphicFramePr>
            <xdr:cNvPr id="2" name="Size">
              <a:extLst>
                <a:ext uri="{FF2B5EF4-FFF2-40B4-BE49-F238E27FC236}">
                  <a16:creationId xmlns:a16="http://schemas.microsoft.com/office/drawing/2014/main" id="{F0F44CE9-CC3C-0B7B-F6A5-F54A24AD18C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5821680" y="289560"/>
              <a:ext cx="1828800" cy="24669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274320</xdr:colOff>
      <xdr:row>1</xdr:row>
      <xdr:rowOff>0</xdr:rowOff>
    </xdr:from>
    <xdr:to>
      <xdr:col>13</xdr:col>
      <xdr:colOff>274320</xdr:colOff>
      <xdr:row>14</xdr:row>
      <xdr:rowOff>89535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7945AF17-B225-324B-58FA-A51D2C25A0A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833360" y="182880"/>
              <a:ext cx="1828800" cy="24669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335280</xdr:colOff>
      <xdr:row>1</xdr:row>
      <xdr:rowOff>99060</xdr:rowOff>
    </xdr:from>
    <xdr:to>
      <xdr:col>16</xdr:col>
      <xdr:colOff>335280</xdr:colOff>
      <xdr:row>15</xdr:row>
      <xdr:rowOff>5715</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07684D97-B57A-DC1B-391B-41C35D9B927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723120" y="281940"/>
              <a:ext cx="1828800" cy="24669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earch" refreshedDate="46133.177417013889" createdVersion="8" refreshedVersion="8" minRefreshableVersion="3" recordCount="1000" xr:uid="{BAE3BC64-8E4C-42D7-9962-BF80D8DE9AA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ontainsMixedTypes="1" containsNumber="1" containsInteger="1" minValue="0" maxValue="0"/>
    </cacheField>
    <cacheField name="Country" numFmtId="0">
      <sharedItems/>
    </cacheField>
    <cacheField name="Coffee Type" numFmtId="0">
      <sharedItems/>
    </cacheField>
    <cacheField name="Roast Type" numFmtId="0">
      <sharedItems/>
    </cacheField>
    <cacheField name="Size" numFmtId="164">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2/1/2019"/>
          <s v="Jan"/>
          <s v="Feb"/>
          <s v="Mar"/>
          <s v="Apr"/>
          <s v="May"/>
          <s v="Jun"/>
          <s v="Jul"/>
          <s v="Aug"/>
          <s v="Sept"/>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1139846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s v="United States"/>
    <s v="Rob"/>
    <s v="M"/>
    <x v="0"/>
    <n v="9.9499999999999993"/>
    <n v="19.899999999999999"/>
    <x v="0"/>
    <x v="0"/>
    <x v="0"/>
  </r>
  <r>
    <s v="QEV-37451-860"/>
    <x v="0"/>
    <s v="17670-51384-MA"/>
    <s v="E-M-0.5"/>
    <n v="5"/>
    <s v="Aloisia Allner"/>
    <s v="aallner0@lulu.com"/>
    <s v="United States"/>
    <s v="Exc"/>
    <s v="M"/>
    <x v="1"/>
    <n v="8.25"/>
    <n v="41.25"/>
    <x v="1"/>
    <x v="0"/>
    <x v="0"/>
  </r>
  <r>
    <s v="FAA-43335-268"/>
    <x v="1"/>
    <s v="21125-22134-PX"/>
    <s v="A-L-1"/>
    <n v="1"/>
    <s v="Jami Redholes"/>
    <s v="jredholes2@tmall.com"/>
    <s v="United States"/>
    <s v="Ara"/>
    <s v="L"/>
    <x v="0"/>
    <n v="12.95"/>
    <n v="12.95"/>
    <x v="2"/>
    <x v="1"/>
    <x v="0"/>
  </r>
  <r>
    <s v="KAC-83089-793"/>
    <x v="2"/>
    <s v="23806-46781-OU"/>
    <s v="E-M-1"/>
    <n v="2"/>
    <s v="Christoffer O' Shea"/>
    <n v="0"/>
    <s v="Ireland"/>
    <s v="Exc"/>
    <s v="M"/>
    <x v="0"/>
    <n v="13.75"/>
    <n v="27.5"/>
    <x v="1"/>
    <x v="0"/>
    <x v="1"/>
  </r>
  <r>
    <s v="KAC-83089-793"/>
    <x v="2"/>
    <s v="23806-46781-OU"/>
    <s v="R-L-2.5"/>
    <n v="2"/>
    <s v="Christoffer O' Shea"/>
    <n v="0"/>
    <s v="Ireland"/>
    <s v="Rob"/>
    <s v="L"/>
    <x v="2"/>
    <n v="27.484999999999996"/>
    <n v="54.969999999999992"/>
    <x v="0"/>
    <x v="1"/>
    <x v="1"/>
  </r>
  <r>
    <s v="CVP-18956-553"/>
    <x v="3"/>
    <s v="86561-91660-RB"/>
    <s v="L-D-1"/>
    <n v="3"/>
    <s v="Beryle Cottier"/>
    <n v="0"/>
    <s v="United States"/>
    <s v="Lib"/>
    <s v="D"/>
    <x v="0"/>
    <n v="12.95"/>
    <n v="38.849999999999994"/>
    <x v="3"/>
    <x v="2"/>
    <x v="1"/>
  </r>
  <r>
    <s v="IPP-31994-879"/>
    <x v="4"/>
    <s v="65223-29612-CB"/>
    <s v="E-D-0.5"/>
    <n v="3"/>
    <s v="Shaylynn Lobe"/>
    <s v="slobe6@nifty.com"/>
    <s v="United States"/>
    <s v="Exc"/>
    <s v="D"/>
    <x v="1"/>
    <n v="7.29"/>
    <n v="21.87"/>
    <x v="1"/>
    <x v="2"/>
    <x v="0"/>
  </r>
  <r>
    <s v="SNZ-65340-705"/>
    <x v="5"/>
    <s v="21134-81676-FR"/>
    <s v="L-L-0.2"/>
    <n v="1"/>
    <s v="Melvin Wharfe"/>
    <n v="0"/>
    <s v="Ireland"/>
    <s v="Lib"/>
    <s v="L"/>
    <x v="3"/>
    <n v="4.7549999999999999"/>
    <n v="4.7549999999999999"/>
    <x v="3"/>
    <x v="1"/>
    <x v="0"/>
  </r>
  <r>
    <s v="EZT-46571-659"/>
    <x v="6"/>
    <s v="03396-68805-ZC"/>
    <s v="R-M-0.5"/>
    <n v="3"/>
    <s v="Guthrey Petracci"/>
    <s v="gpetracci8@livejournal.com"/>
    <s v="United States"/>
    <s v="Rob"/>
    <s v="M"/>
    <x v="1"/>
    <n v="5.97"/>
    <n v="17.91"/>
    <x v="0"/>
    <x v="0"/>
    <x v="1"/>
  </r>
  <r>
    <s v="NWQ-70061-912"/>
    <x v="0"/>
    <s v="61021-27840-ZN"/>
    <s v="R-M-0.5"/>
    <n v="1"/>
    <s v="Rodger Raven"/>
    <s v="rraven9@ed.gov"/>
    <s v="United States"/>
    <s v="Rob"/>
    <s v="M"/>
    <x v="1"/>
    <n v="5.97"/>
    <n v="5.97"/>
    <x v="0"/>
    <x v="0"/>
    <x v="1"/>
  </r>
  <r>
    <s v="BKK-47233-845"/>
    <x v="7"/>
    <s v="76239-90137-UQ"/>
    <s v="A-D-1"/>
    <n v="4"/>
    <s v="Ferrell Ferber"/>
    <s v="fferbera@businesswire.com"/>
    <s v="United States"/>
    <s v="Ara"/>
    <s v="D"/>
    <x v="0"/>
    <n v="9.9499999999999993"/>
    <n v="39.799999999999997"/>
    <x v="2"/>
    <x v="2"/>
    <x v="1"/>
  </r>
  <r>
    <s v="VQR-01002-970"/>
    <x v="8"/>
    <s v="49315-21985-BB"/>
    <s v="E-L-2.5"/>
    <n v="5"/>
    <s v="Duky Phizackerly"/>
    <s v="dphizackerlyb@utexas.edu"/>
    <s v="United States"/>
    <s v="Exc"/>
    <s v="L"/>
    <x v="2"/>
    <n v="34.154999999999994"/>
    <n v="170.77499999999998"/>
    <x v="1"/>
    <x v="1"/>
    <x v="0"/>
  </r>
  <r>
    <s v="SZW-48378-399"/>
    <x v="9"/>
    <s v="34136-36674-OM"/>
    <s v="R-M-1"/>
    <n v="5"/>
    <s v="Rosaleen Scholar"/>
    <s v="rscholarc@nyu.edu"/>
    <s v="United States"/>
    <s v="Rob"/>
    <s v="M"/>
    <x v="0"/>
    <n v="9.9499999999999993"/>
    <n v="49.75"/>
    <x v="0"/>
    <x v="0"/>
    <x v="1"/>
  </r>
  <r>
    <s v="ITA-87418-783"/>
    <x v="10"/>
    <s v="39396-12890-PE"/>
    <s v="R-D-2.5"/>
    <n v="2"/>
    <s v="Terence Vanyutin"/>
    <s v="tvanyutind@wix.com"/>
    <s v="United States"/>
    <s v="Rob"/>
    <s v="D"/>
    <x v="2"/>
    <n v="20.584999999999997"/>
    <n v="41.169999999999995"/>
    <x v="0"/>
    <x v="2"/>
    <x v="1"/>
  </r>
  <r>
    <s v="GNZ-46006-527"/>
    <x v="11"/>
    <s v="95875-73336-RG"/>
    <s v="L-D-0.2"/>
    <n v="3"/>
    <s v="Patrice Trobe"/>
    <s v="ptrobee@wunderground.com"/>
    <s v="United States"/>
    <s v="Lib"/>
    <s v="D"/>
    <x v="3"/>
    <n v="3.8849999999999998"/>
    <n v="11.654999999999999"/>
    <x v="3"/>
    <x v="2"/>
    <x v="0"/>
  </r>
  <r>
    <s v="FYQ-78248-319"/>
    <x v="12"/>
    <s v="25473-43727-BY"/>
    <s v="R-M-2.5"/>
    <n v="5"/>
    <s v="Llywellyn Oscroft"/>
    <s v="loscroftf@ebay.co.uk"/>
    <s v="United States"/>
    <s v="Rob"/>
    <s v="M"/>
    <x v="2"/>
    <n v="22.884999999999998"/>
    <n v="114.42499999999998"/>
    <x v="0"/>
    <x v="0"/>
    <x v="1"/>
  </r>
  <r>
    <s v="VAU-44387-624"/>
    <x v="13"/>
    <s v="99643-51048-IQ"/>
    <s v="A-M-0.2"/>
    <n v="6"/>
    <s v="Minni Alabaster"/>
    <s v="malabasterg@hexun.com"/>
    <s v="United States"/>
    <s v="Ara"/>
    <s v="M"/>
    <x v="3"/>
    <n v="3.375"/>
    <n v="20.25"/>
    <x v="2"/>
    <x v="0"/>
    <x v="1"/>
  </r>
  <r>
    <s v="RDW-33155-159"/>
    <x v="14"/>
    <s v="62173-15287-CU"/>
    <s v="A-L-1"/>
    <n v="6"/>
    <s v="Rhianon Broxup"/>
    <s v="rbroxuph@jimdo.com"/>
    <s v="United States"/>
    <s v="Ara"/>
    <s v="L"/>
    <x v="0"/>
    <n v="12.95"/>
    <n v="77.699999999999989"/>
    <x v="2"/>
    <x v="1"/>
    <x v="1"/>
  </r>
  <r>
    <s v="TDZ-59011-211"/>
    <x v="15"/>
    <s v="57611-05522-ST"/>
    <s v="R-D-2.5"/>
    <n v="4"/>
    <s v="Pall Redford"/>
    <s v="predfordi@ow.ly"/>
    <s v="Ireland"/>
    <s v="Rob"/>
    <s v="D"/>
    <x v="2"/>
    <n v="20.584999999999997"/>
    <n v="82.339999999999989"/>
    <x v="0"/>
    <x v="2"/>
    <x v="0"/>
  </r>
  <r>
    <s v="IDU-25793-399"/>
    <x v="16"/>
    <s v="76664-37050-DT"/>
    <s v="A-M-0.2"/>
    <n v="5"/>
    <s v="Aurea Corradino"/>
    <s v="acorradinoj@harvard.edu"/>
    <s v="United States"/>
    <s v="Ara"/>
    <s v="M"/>
    <x v="3"/>
    <n v="3.375"/>
    <n v="16.875"/>
    <x v="2"/>
    <x v="0"/>
    <x v="0"/>
  </r>
  <r>
    <s v="IDU-25793-399"/>
    <x v="16"/>
    <s v="76664-37050-DT"/>
    <s v="E-D-0.2"/>
    <n v="4"/>
    <s v="Aurea Corradino"/>
    <s v="acorradinoj@harvard.edu"/>
    <s v="United States"/>
    <s v="Exc"/>
    <s v="D"/>
    <x v="3"/>
    <n v="3.645"/>
    <n v="14.58"/>
    <x v="1"/>
    <x v="2"/>
    <x v="0"/>
  </r>
  <r>
    <s v="NUO-20013-488"/>
    <x v="16"/>
    <s v="03090-88267-BQ"/>
    <s v="A-D-0.2"/>
    <n v="6"/>
    <s v="Avrit Davidowsky"/>
    <s v="adavidowskyl@netvibes.com"/>
    <s v="United States"/>
    <s v="Ara"/>
    <s v="D"/>
    <x v="3"/>
    <n v="2.9849999999999999"/>
    <n v="17.91"/>
    <x v="2"/>
    <x v="2"/>
    <x v="1"/>
  </r>
  <r>
    <s v="UQU-65630-479"/>
    <x v="17"/>
    <s v="37651-47492-NC"/>
    <s v="R-M-2.5"/>
    <n v="4"/>
    <s v="Annabel Antuk"/>
    <s v="aantukm@kickstarter.com"/>
    <s v="United States"/>
    <s v="Rob"/>
    <s v="M"/>
    <x v="2"/>
    <n v="22.884999999999998"/>
    <n v="91.539999999999992"/>
    <x v="0"/>
    <x v="0"/>
    <x v="0"/>
  </r>
  <r>
    <s v="FEO-11834-332"/>
    <x v="18"/>
    <s v="95399-57205-HI"/>
    <s v="A-D-0.2"/>
    <n v="4"/>
    <s v="Iorgo Kleinert"/>
    <s v="ikleinertn@timesonline.co.uk"/>
    <s v="United States"/>
    <s v="Ara"/>
    <s v="D"/>
    <x v="3"/>
    <n v="2.9849999999999999"/>
    <n v="11.94"/>
    <x v="2"/>
    <x v="2"/>
    <x v="0"/>
  </r>
  <r>
    <s v="TKY-71558-096"/>
    <x v="19"/>
    <s v="24010-66714-HW"/>
    <s v="A-M-1"/>
    <n v="1"/>
    <s v="Chrisy Blofeld"/>
    <s v="cblofeldo@amazon.co.uk"/>
    <s v="United States"/>
    <s v="Ara"/>
    <s v="M"/>
    <x v="0"/>
    <n v="11.25"/>
    <n v="11.25"/>
    <x v="2"/>
    <x v="0"/>
    <x v="1"/>
  </r>
  <r>
    <s v="OXY-65322-253"/>
    <x v="20"/>
    <s v="07591-92789-UA"/>
    <s v="E-M-0.2"/>
    <n v="3"/>
    <s v="Culley Farris"/>
    <n v="0"/>
    <s v="United States"/>
    <s v="Exc"/>
    <s v="M"/>
    <x v="3"/>
    <n v="4.125"/>
    <n v="12.375"/>
    <x v="1"/>
    <x v="0"/>
    <x v="0"/>
  </r>
  <r>
    <s v="EVP-43500-491"/>
    <x v="21"/>
    <s v="49231-44455-IC"/>
    <s v="A-M-0.5"/>
    <n v="4"/>
    <s v="Selene Shales"/>
    <s v="sshalesq@umich.edu"/>
    <s v="United States"/>
    <s v="Ara"/>
    <s v="M"/>
    <x v="1"/>
    <n v="6.75"/>
    <n v="27"/>
    <x v="2"/>
    <x v="0"/>
    <x v="0"/>
  </r>
  <r>
    <s v="WAG-26945-689"/>
    <x v="22"/>
    <s v="50124-88608-EO"/>
    <s v="A-M-0.2"/>
    <n v="5"/>
    <s v="Vivie Danneil"/>
    <s v="vdanneilr@mtv.com"/>
    <s v="Ireland"/>
    <s v="Ara"/>
    <s v="M"/>
    <x v="3"/>
    <n v="3.375"/>
    <n v="16.875"/>
    <x v="2"/>
    <x v="0"/>
    <x v="1"/>
  </r>
  <r>
    <s v="CHE-78995-767"/>
    <x v="23"/>
    <s v="00888-74814-UZ"/>
    <s v="A-D-0.5"/>
    <n v="3"/>
    <s v="Theresita Newbury"/>
    <s v="tnewburys@usda.gov"/>
    <s v="Ireland"/>
    <s v="Ara"/>
    <s v="D"/>
    <x v="1"/>
    <n v="5.97"/>
    <n v="17.91"/>
    <x v="2"/>
    <x v="2"/>
    <x v="1"/>
  </r>
  <r>
    <s v="RYZ-14633-602"/>
    <x v="21"/>
    <s v="14158-30713-OB"/>
    <s v="A-D-1"/>
    <n v="4"/>
    <s v="Mozelle Calcutt"/>
    <s v="mcalcuttt@baidu.com"/>
    <s v="Ireland"/>
    <s v="Ara"/>
    <s v="D"/>
    <x v="0"/>
    <n v="9.9499999999999993"/>
    <n v="39.799999999999997"/>
    <x v="2"/>
    <x v="2"/>
    <x v="0"/>
  </r>
  <r>
    <s v="WOQ-36015-429"/>
    <x v="24"/>
    <s v="51427-89175-QJ"/>
    <s v="L-M-0.2"/>
    <n v="5"/>
    <s v="Adrian Swaine"/>
    <n v="0"/>
    <s v="United States"/>
    <s v="Lib"/>
    <s v="M"/>
    <x v="3"/>
    <n v="4.3650000000000002"/>
    <n v="21.825000000000003"/>
    <x v="3"/>
    <x v="0"/>
    <x v="1"/>
  </r>
  <r>
    <s v="WOQ-36015-429"/>
    <x v="24"/>
    <s v="51427-89175-QJ"/>
    <s v="A-D-0.5"/>
    <n v="6"/>
    <s v="Adrian Swaine"/>
    <n v="0"/>
    <s v="United States"/>
    <s v="Ara"/>
    <s v="D"/>
    <x v="1"/>
    <n v="5.97"/>
    <n v="35.82"/>
    <x v="2"/>
    <x v="2"/>
    <x v="1"/>
  </r>
  <r>
    <s v="WOQ-36015-429"/>
    <x v="24"/>
    <s v="51427-89175-QJ"/>
    <s v="L-M-0.5"/>
    <n v="6"/>
    <s v="Adrian Swaine"/>
    <n v="0"/>
    <s v="United States"/>
    <s v="Lib"/>
    <s v="M"/>
    <x v="1"/>
    <n v="8.73"/>
    <n v="52.38"/>
    <x v="3"/>
    <x v="0"/>
    <x v="1"/>
  </r>
  <r>
    <s v="SCT-60553-454"/>
    <x v="25"/>
    <s v="39123-12846-YJ"/>
    <s v="L-L-0.2"/>
    <n v="5"/>
    <s v="Gallard Gatheral"/>
    <s v="ggatheralx@123-reg.co.uk"/>
    <s v="United States"/>
    <s v="Lib"/>
    <s v="L"/>
    <x v="3"/>
    <n v="4.7549999999999999"/>
    <n v="23.774999999999999"/>
    <x v="3"/>
    <x v="1"/>
    <x v="1"/>
  </r>
  <r>
    <s v="GFK-52063-244"/>
    <x v="26"/>
    <s v="44981-99666-XB"/>
    <s v="L-L-0.5"/>
    <n v="6"/>
    <s v="Una Welberry"/>
    <s v="uwelberryy@ebay.co.uk"/>
    <s v="United Kingdom"/>
    <s v="Lib"/>
    <s v="L"/>
    <x v="1"/>
    <n v="9.51"/>
    <n v="57.06"/>
    <x v="3"/>
    <x v="1"/>
    <x v="0"/>
  </r>
  <r>
    <s v="AMM-79521-378"/>
    <x v="27"/>
    <s v="24825-51803-CQ"/>
    <s v="A-D-0.5"/>
    <n v="6"/>
    <s v="Faber Eilhart"/>
    <s v="feilhartz@who.int"/>
    <s v="United States"/>
    <s v="Ara"/>
    <s v="D"/>
    <x v="1"/>
    <n v="5.97"/>
    <n v="35.82"/>
    <x v="2"/>
    <x v="2"/>
    <x v="1"/>
  </r>
  <r>
    <s v="QUQ-90580-772"/>
    <x v="28"/>
    <s v="77634-13918-GJ"/>
    <s v="L-M-0.2"/>
    <n v="2"/>
    <s v="Zorina Ponting"/>
    <s v="zponting10@altervista.org"/>
    <s v="United States"/>
    <s v="Lib"/>
    <s v="M"/>
    <x v="3"/>
    <n v="4.3650000000000002"/>
    <n v="8.73"/>
    <x v="3"/>
    <x v="0"/>
    <x v="1"/>
  </r>
  <r>
    <s v="LGD-24408-274"/>
    <x v="29"/>
    <s v="13694-25001-LX"/>
    <s v="L-L-0.5"/>
    <n v="3"/>
    <s v="Silvio Strase"/>
    <s v="sstrase11@booking.com"/>
    <s v="United States"/>
    <s v="Lib"/>
    <s v="L"/>
    <x v="1"/>
    <n v="9.51"/>
    <n v="28.53"/>
    <x v="3"/>
    <x v="1"/>
    <x v="1"/>
  </r>
  <r>
    <s v="HCT-95608-959"/>
    <x v="30"/>
    <s v="08523-01791-TI"/>
    <s v="R-M-2.5"/>
    <n v="5"/>
    <s v="Dorie de la Tremoille"/>
    <s v="dde12@unesco.org"/>
    <s v="United States"/>
    <s v="Rob"/>
    <s v="M"/>
    <x v="2"/>
    <n v="22.884999999999998"/>
    <n v="114.42499999999998"/>
    <x v="0"/>
    <x v="0"/>
    <x v="1"/>
  </r>
  <r>
    <s v="OFX-99147-470"/>
    <x v="31"/>
    <s v="49860-68865-AB"/>
    <s v="R-M-1"/>
    <n v="6"/>
    <s v="Hy Zanetto"/>
    <n v="0"/>
    <s v="United States"/>
    <s v="Rob"/>
    <s v="M"/>
    <x v="0"/>
    <n v="9.9499999999999993"/>
    <n v="59.699999999999996"/>
    <x v="0"/>
    <x v="0"/>
    <x v="0"/>
  </r>
  <r>
    <s v="LUO-37559-016"/>
    <x v="32"/>
    <s v="21240-83132-SP"/>
    <s v="L-M-1"/>
    <n v="3"/>
    <s v="Jessica McNess"/>
    <n v="0"/>
    <s v="United States"/>
    <s v="Lib"/>
    <s v="M"/>
    <x v="0"/>
    <n v="14.55"/>
    <n v="43.650000000000006"/>
    <x v="3"/>
    <x v="0"/>
    <x v="1"/>
  </r>
  <r>
    <s v="XWC-20610-167"/>
    <x v="33"/>
    <s v="08350-81623-TF"/>
    <s v="E-D-0.2"/>
    <n v="2"/>
    <s v="Lorenzo Yeoland"/>
    <s v="lyeoland15@pbs.org"/>
    <s v="United States"/>
    <s v="Exc"/>
    <s v="D"/>
    <x v="3"/>
    <n v="3.645"/>
    <n v="7.29"/>
    <x v="1"/>
    <x v="2"/>
    <x v="0"/>
  </r>
  <r>
    <s v="GPU-79113-136"/>
    <x v="34"/>
    <s v="73284-01385-SJ"/>
    <s v="R-D-0.2"/>
    <n v="3"/>
    <s v="Abigail Tolworthy"/>
    <s v="atolworthy16@toplist.cz"/>
    <s v="United States"/>
    <s v="Rob"/>
    <s v="D"/>
    <x v="3"/>
    <n v="2.6849999999999996"/>
    <n v="8.0549999999999997"/>
    <x v="0"/>
    <x v="2"/>
    <x v="0"/>
  </r>
  <r>
    <s v="ULR-52653-960"/>
    <x v="35"/>
    <s v="04152-34436-IE"/>
    <s v="L-L-2.5"/>
    <n v="2"/>
    <s v="Maurie Bartol"/>
    <n v="0"/>
    <s v="United States"/>
    <s v="Lib"/>
    <s v="L"/>
    <x v="2"/>
    <n v="36.454999999999998"/>
    <n v="72.91"/>
    <x v="3"/>
    <x v="1"/>
    <x v="1"/>
  </r>
  <r>
    <s v="HPI-42308-142"/>
    <x v="36"/>
    <s v="06631-86965-XP"/>
    <s v="E-M-0.5"/>
    <n v="2"/>
    <s v="Olag Baudassi"/>
    <s v="obaudassi18@seesaa.net"/>
    <s v="United States"/>
    <s v="Exc"/>
    <s v="M"/>
    <x v="1"/>
    <n v="8.25"/>
    <n v="16.5"/>
    <x v="1"/>
    <x v="0"/>
    <x v="0"/>
  </r>
  <r>
    <s v="XHI-30227-581"/>
    <x v="37"/>
    <s v="54619-08558-ZU"/>
    <s v="L-D-2.5"/>
    <n v="6"/>
    <s v="Petey Kingsbury"/>
    <s v="pkingsbury19@comcast.net"/>
    <s v="United States"/>
    <s v="Lib"/>
    <s v="D"/>
    <x v="2"/>
    <n v="29.784999999999997"/>
    <n v="178.70999999999998"/>
    <x v="3"/>
    <x v="2"/>
    <x v="1"/>
  </r>
  <r>
    <s v="DJH-05202-380"/>
    <x v="38"/>
    <s v="85589-17020-CX"/>
    <s v="E-M-2.5"/>
    <n v="2"/>
    <s v="Donna Baskeyfied"/>
    <n v="0"/>
    <s v="United States"/>
    <s v="Exc"/>
    <s v="M"/>
    <x v="2"/>
    <n v="31.624999999999996"/>
    <n v="63.249999999999993"/>
    <x v="1"/>
    <x v="0"/>
    <x v="0"/>
  </r>
  <r>
    <s v="VMW-26889-781"/>
    <x v="39"/>
    <s v="36078-91009-WU"/>
    <s v="A-L-0.2"/>
    <n v="2"/>
    <s v="Arda Curley"/>
    <s v="acurley1b@hao123.com"/>
    <s v="United States"/>
    <s v="Ara"/>
    <s v="L"/>
    <x v="3"/>
    <n v="3.8849999999999998"/>
    <n v="7.77"/>
    <x v="2"/>
    <x v="1"/>
    <x v="0"/>
  </r>
  <r>
    <s v="DBU-81099-586"/>
    <x v="40"/>
    <s v="15770-27099-GX"/>
    <s v="A-D-2.5"/>
    <n v="4"/>
    <s v="Raynor McGilvary"/>
    <s v="rmcgilvary1c@tamu.edu"/>
    <s v="United States"/>
    <s v="Ara"/>
    <s v="D"/>
    <x v="2"/>
    <n v="22.884999999999998"/>
    <n v="91.539999999999992"/>
    <x v="2"/>
    <x v="2"/>
    <x v="1"/>
  </r>
  <r>
    <s v="PQA-54820-810"/>
    <x v="41"/>
    <s v="91460-04823-BX"/>
    <s v="A-L-1"/>
    <n v="3"/>
    <s v="Isis Pikett"/>
    <s v="ipikett1d@xinhuanet.com"/>
    <s v="United States"/>
    <s v="Ara"/>
    <s v="L"/>
    <x v="0"/>
    <n v="12.95"/>
    <n v="38.849999999999994"/>
    <x v="2"/>
    <x v="1"/>
    <x v="1"/>
  </r>
  <r>
    <s v="XKB-41924-202"/>
    <x v="42"/>
    <s v="45089-52817-WN"/>
    <s v="L-D-0.5"/>
    <n v="2"/>
    <s v="Inger Bouldon"/>
    <s v="ibouldon1e@gizmodo.com"/>
    <s v="United States"/>
    <s v="Lib"/>
    <s v="D"/>
    <x v="1"/>
    <n v="7.77"/>
    <n v="15.54"/>
    <x v="3"/>
    <x v="2"/>
    <x v="1"/>
  </r>
  <r>
    <s v="DWZ-69106-473"/>
    <x v="43"/>
    <s v="76447-50326-IC"/>
    <s v="L-L-2.5"/>
    <n v="4"/>
    <s v="Karry Flanders"/>
    <s v="kflanders1f@over-blog.com"/>
    <s v="Ireland"/>
    <s v="Lib"/>
    <s v="L"/>
    <x v="2"/>
    <n v="36.454999999999998"/>
    <n v="145.82"/>
    <x v="3"/>
    <x v="1"/>
    <x v="0"/>
  </r>
  <r>
    <s v="YHV-68700-050"/>
    <x v="44"/>
    <s v="26333-67911-OL"/>
    <s v="R-M-0.5"/>
    <n v="5"/>
    <s v="Hartley Mattioli"/>
    <s v="hmattioli1g@webmd.com"/>
    <s v="United Kingdom"/>
    <s v="Rob"/>
    <s v="M"/>
    <x v="1"/>
    <n v="5.97"/>
    <n v="29.849999999999998"/>
    <x v="0"/>
    <x v="0"/>
    <x v="1"/>
  </r>
  <r>
    <s v="YHV-68700-050"/>
    <x v="44"/>
    <s v="26333-67911-OL"/>
    <s v="L-L-2.5"/>
    <n v="2"/>
    <s v="Hartley Mattioli"/>
    <s v="hmattioli1g@webmd.com"/>
    <s v="United Kingdom"/>
    <s v="Lib"/>
    <s v="L"/>
    <x v="2"/>
    <n v="36.454999999999998"/>
    <n v="72.91"/>
    <x v="3"/>
    <x v="1"/>
    <x v="1"/>
  </r>
  <r>
    <s v="KRB-88066-642"/>
    <x v="45"/>
    <s v="22107-86640-SB"/>
    <s v="L-M-1"/>
    <n v="5"/>
    <s v="Archambault Gillard"/>
    <s v="agillard1i@issuu.com"/>
    <s v="United States"/>
    <s v="Lib"/>
    <s v="M"/>
    <x v="0"/>
    <n v="14.55"/>
    <n v="72.75"/>
    <x v="3"/>
    <x v="0"/>
    <x v="1"/>
  </r>
  <r>
    <s v="LQU-08404-173"/>
    <x v="46"/>
    <s v="09960-34242-LZ"/>
    <s v="L-L-1"/>
    <n v="3"/>
    <s v="Salomo Cushworth"/>
    <n v="0"/>
    <s v="United States"/>
    <s v="Lib"/>
    <s v="L"/>
    <x v="0"/>
    <n v="15.85"/>
    <n v="47.55"/>
    <x v="3"/>
    <x v="1"/>
    <x v="1"/>
  </r>
  <r>
    <s v="CWK-60159-881"/>
    <x v="47"/>
    <s v="04671-85591-RT"/>
    <s v="E-D-0.2"/>
    <n v="3"/>
    <s v="Theda Grizard"/>
    <s v="tgrizard1k@odnoklassniki.ru"/>
    <s v="United States"/>
    <s v="Exc"/>
    <s v="D"/>
    <x v="3"/>
    <n v="3.645"/>
    <n v="10.935"/>
    <x v="1"/>
    <x v="2"/>
    <x v="0"/>
  </r>
  <r>
    <s v="EEG-74197-843"/>
    <x v="48"/>
    <s v="25729-68859-UA"/>
    <s v="E-L-1"/>
    <n v="4"/>
    <s v="Rozele Relton"/>
    <s v="rrelton1l@stanford.edu"/>
    <s v="United States"/>
    <s v="Exc"/>
    <s v="L"/>
    <x v="0"/>
    <n v="14.85"/>
    <n v="59.4"/>
    <x v="1"/>
    <x v="1"/>
    <x v="1"/>
  </r>
  <r>
    <s v="UCZ-59708-525"/>
    <x v="49"/>
    <s v="05501-86351-NX"/>
    <s v="L-D-2.5"/>
    <n v="3"/>
    <s v="Willa Rolling"/>
    <n v="0"/>
    <s v="United States"/>
    <s v="Lib"/>
    <s v="D"/>
    <x v="2"/>
    <n v="29.784999999999997"/>
    <n v="89.35499999999999"/>
    <x v="3"/>
    <x v="2"/>
    <x v="0"/>
  </r>
  <r>
    <s v="HUB-47311-849"/>
    <x v="50"/>
    <s v="04521-04300-OK"/>
    <s v="L-M-0.5"/>
    <n v="3"/>
    <s v="Stanislaus Gilroy"/>
    <s v="sgilroy1n@eepurl.com"/>
    <s v="United States"/>
    <s v="Lib"/>
    <s v="M"/>
    <x v="1"/>
    <n v="8.73"/>
    <n v="26.19"/>
    <x v="3"/>
    <x v="0"/>
    <x v="0"/>
  </r>
  <r>
    <s v="WYM-17686-694"/>
    <x v="51"/>
    <s v="58689-55264-VK"/>
    <s v="A-D-2.5"/>
    <n v="5"/>
    <s v="Correy Cottingham"/>
    <s v="ccottingham1o@wikipedia.org"/>
    <s v="United States"/>
    <s v="Ara"/>
    <s v="D"/>
    <x v="2"/>
    <n v="22.884999999999998"/>
    <n v="114.42499999999998"/>
    <x v="2"/>
    <x v="2"/>
    <x v="1"/>
  </r>
  <r>
    <s v="ZYQ-15797-695"/>
    <x v="52"/>
    <s v="79436-73011-MM"/>
    <s v="R-D-0.5"/>
    <n v="5"/>
    <s v="Pammi Endacott"/>
    <n v="0"/>
    <s v="United Kingdom"/>
    <s v="Rob"/>
    <s v="D"/>
    <x v="1"/>
    <n v="5.3699999999999992"/>
    <n v="26.849999999999994"/>
    <x v="0"/>
    <x v="2"/>
    <x v="0"/>
  </r>
  <r>
    <s v="EEJ-16185-108"/>
    <x v="53"/>
    <s v="65552-60476-KY"/>
    <s v="L-L-0.2"/>
    <n v="5"/>
    <s v="Nona Linklater"/>
    <n v="0"/>
    <s v="United States"/>
    <s v="Lib"/>
    <s v="L"/>
    <x v="3"/>
    <n v="4.7549999999999999"/>
    <n v="23.774999999999999"/>
    <x v="3"/>
    <x v="1"/>
    <x v="0"/>
  </r>
  <r>
    <s v="RWR-77888-800"/>
    <x v="54"/>
    <s v="69904-02729-YS"/>
    <s v="A-M-0.5"/>
    <n v="1"/>
    <s v="Annadiane Dykes"/>
    <s v="adykes1r@eventbrite.com"/>
    <s v="United States"/>
    <s v="Ara"/>
    <s v="M"/>
    <x v="1"/>
    <n v="6.75"/>
    <n v="6.75"/>
    <x v="2"/>
    <x v="0"/>
    <x v="1"/>
  </r>
  <r>
    <s v="LHN-75209-742"/>
    <x v="55"/>
    <s v="01433-04270-AX"/>
    <s v="R-M-0.5"/>
    <n v="6"/>
    <s v="Felecia Dodgson"/>
    <n v="0"/>
    <s v="United States"/>
    <s v="Rob"/>
    <s v="M"/>
    <x v="1"/>
    <n v="5.97"/>
    <n v="35.82"/>
    <x v="0"/>
    <x v="0"/>
    <x v="0"/>
  </r>
  <r>
    <s v="TIR-71396-998"/>
    <x v="56"/>
    <s v="14204-14186-LA"/>
    <s v="R-D-2.5"/>
    <n v="4"/>
    <s v="Angelia Cockrem"/>
    <s v="acockrem1t@engadget.com"/>
    <s v="United States"/>
    <s v="Rob"/>
    <s v="D"/>
    <x v="2"/>
    <n v="20.584999999999997"/>
    <n v="82.339999999999989"/>
    <x v="0"/>
    <x v="2"/>
    <x v="0"/>
  </r>
  <r>
    <s v="RXF-37618-213"/>
    <x v="57"/>
    <s v="32948-34398-HC"/>
    <s v="R-L-0.5"/>
    <n v="1"/>
    <s v="Belvia Umpleby"/>
    <s v="bumpleby1u@soundcloud.com"/>
    <s v="United States"/>
    <s v="Rob"/>
    <s v="L"/>
    <x v="1"/>
    <n v="7.169999999999999"/>
    <n v="7.169999999999999"/>
    <x v="0"/>
    <x v="1"/>
    <x v="0"/>
  </r>
  <r>
    <s v="ANM-16388-634"/>
    <x v="58"/>
    <s v="77343-52608-FF"/>
    <s v="L-L-0.2"/>
    <n v="2"/>
    <s v="Nat Saleway"/>
    <s v="nsaleway1v@dedecms.com"/>
    <s v="United States"/>
    <s v="Lib"/>
    <s v="L"/>
    <x v="3"/>
    <n v="4.7549999999999999"/>
    <n v="9.51"/>
    <x v="3"/>
    <x v="1"/>
    <x v="1"/>
  </r>
  <r>
    <s v="WYL-29300-070"/>
    <x v="59"/>
    <s v="42770-36274-QA"/>
    <s v="R-M-0.2"/>
    <n v="1"/>
    <s v="Hayward Goulter"/>
    <s v="hgoulter1w@abc.net.au"/>
    <s v="United States"/>
    <s v="Rob"/>
    <s v="M"/>
    <x v="3"/>
    <n v="2.9849999999999999"/>
    <n v="2.9849999999999999"/>
    <x v="0"/>
    <x v="0"/>
    <x v="1"/>
  </r>
  <r>
    <s v="JHW-74554-805"/>
    <x v="60"/>
    <s v="14103-58987-ZU"/>
    <s v="R-M-1"/>
    <n v="6"/>
    <s v="Gay Rizzello"/>
    <s v="grizzello1x@symantec.com"/>
    <s v="United Kingdom"/>
    <s v="Rob"/>
    <s v="M"/>
    <x v="0"/>
    <n v="9.9499999999999993"/>
    <n v="59.699999999999996"/>
    <x v="0"/>
    <x v="0"/>
    <x v="0"/>
  </r>
  <r>
    <s v="KYS-27063-603"/>
    <x v="61"/>
    <s v="69958-32065-SW"/>
    <s v="E-L-2.5"/>
    <n v="4"/>
    <s v="Shannon List"/>
    <s v="slist1y@mapquest.com"/>
    <s v="United States"/>
    <s v="Exc"/>
    <s v="L"/>
    <x v="2"/>
    <n v="34.154999999999994"/>
    <n v="136.61999999999998"/>
    <x v="1"/>
    <x v="1"/>
    <x v="1"/>
  </r>
  <r>
    <s v="GAZ-58626-277"/>
    <x v="62"/>
    <s v="69533-84907-FA"/>
    <s v="L-L-0.2"/>
    <n v="2"/>
    <s v="Shirlene Edmondson"/>
    <s v="sedmondson1z@theguardian.com"/>
    <s v="Ireland"/>
    <s v="Lib"/>
    <s v="L"/>
    <x v="3"/>
    <n v="4.7549999999999999"/>
    <n v="9.51"/>
    <x v="3"/>
    <x v="1"/>
    <x v="1"/>
  </r>
  <r>
    <s v="RPJ-37787-335"/>
    <x v="63"/>
    <s v="76005-95461-CI"/>
    <s v="A-M-2.5"/>
    <n v="3"/>
    <s v="Aurlie McCarl"/>
    <n v="0"/>
    <s v="United States"/>
    <s v="Ara"/>
    <s v="M"/>
    <x v="2"/>
    <n v="25.874999999999996"/>
    <n v="77.624999999999986"/>
    <x v="2"/>
    <x v="0"/>
    <x v="1"/>
  </r>
  <r>
    <s v="LEF-83057-763"/>
    <x v="64"/>
    <s v="15395-90855-VB"/>
    <s v="L-M-0.2"/>
    <n v="5"/>
    <s v="Alikee Carryer"/>
    <n v="0"/>
    <s v="United States"/>
    <s v="Lib"/>
    <s v="M"/>
    <x v="3"/>
    <n v="4.3650000000000002"/>
    <n v="21.825000000000003"/>
    <x v="3"/>
    <x v="0"/>
    <x v="0"/>
  </r>
  <r>
    <s v="RPW-36123-215"/>
    <x v="65"/>
    <s v="80640-45811-LB"/>
    <s v="E-L-0.5"/>
    <n v="2"/>
    <s v="Jennifer Rangall"/>
    <s v="jrangall22@newsvine.com"/>
    <s v="United States"/>
    <s v="Exc"/>
    <s v="L"/>
    <x v="1"/>
    <n v="8.91"/>
    <n v="17.82"/>
    <x v="1"/>
    <x v="1"/>
    <x v="0"/>
  </r>
  <r>
    <s v="WLL-59044-117"/>
    <x v="66"/>
    <s v="28476-04082-GR"/>
    <s v="R-D-1"/>
    <n v="6"/>
    <s v="Kipper Boorn"/>
    <s v="kboorn23@ezinearticles.com"/>
    <s v="Ireland"/>
    <s v="Rob"/>
    <s v="D"/>
    <x v="0"/>
    <n v="8.9499999999999993"/>
    <n v="53.699999999999996"/>
    <x v="0"/>
    <x v="2"/>
    <x v="0"/>
  </r>
  <r>
    <s v="AWT-22827-563"/>
    <x v="67"/>
    <s v="12018-75670-EU"/>
    <s v="R-L-0.2"/>
    <n v="1"/>
    <s v="Melania Beadle"/>
    <n v="0"/>
    <s v="Ireland"/>
    <s v="Rob"/>
    <s v="L"/>
    <x v="3"/>
    <n v="3.5849999999999995"/>
    <n v="3.5849999999999995"/>
    <x v="0"/>
    <x v="1"/>
    <x v="0"/>
  </r>
  <r>
    <s v="QLM-07145-668"/>
    <x v="68"/>
    <s v="86437-17399-FK"/>
    <s v="E-D-0.2"/>
    <n v="2"/>
    <s v="Colene Elgey"/>
    <s v="celgey25@webs.com"/>
    <s v="United States"/>
    <s v="Exc"/>
    <s v="D"/>
    <x v="3"/>
    <n v="3.645"/>
    <n v="7.29"/>
    <x v="1"/>
    <x v="2"/>
    <x v="1"/>
  </r>
  <r>
    <s v="HVQ-64398-930"/>
    <x v="69"/>
    <s v="62979-53167-ML"/>
    <s v="A-M-0.5"/>
    <n v="6"/>
    <s v="Lothaire Mizzi"/>
    <s v="lmizzi26@rakuten.co.jp"/>
    <s v="United States"/>
    <s v="Ara"/>
    <s v="M"/>
    <x v="1"/>
    <n v="6.75"/>
    <n v="40.5"/>
    <x v="2"/>
    <x v="0"/>
    <x v="0"/>
  </r>
  <r>
    <s v="WRT-40778-247"/>
    <x v="70"/>
    <s v="54810-81899-HL"/>
    <s v="R-L-1"/>
    <n v="4"/>
    <s v="Cletis Giacomazzo"/>
    <s v="cgiacomazzo27@jigsy.com"/>
    <s v="United States"/>
    <s v="Rob"/>
    <s v="L"/>
    <x v="0"/>
    <n v="11.95"/>
    <n v="47.8"/>
    <x v="0"/>
    <x v="1"/>
    <x v="1"/>
  </r>
  <r>
    <s v="SUB-13006-125"/>
    <x v="71"/>
    <s v="26103-41504-IB"/>
    <s v="A-L-0.5"/>
    <n v="5"/>
    <s v="Ami Arnow"/>
    <s v="aarnow28@arizona.edu"/>
    <s v="United States"/>
    <s v="Ara"/>
    <s v="L"/>
    <x v="1"/>
    <n v="7.77"/>
    <n v="38.849999999999994"/>
    <x v="2"/>
    <x v="1"/>
    <x v="0"/>
  </r>
  <r>
    <s v="CQM-49696-263"/>
    <x v="72"/>
    <s v="76534-45229-SG"/>
    <s v="L-L-2.5"/>
    <n v="3"/>
    <s v="Sheppard Yann"/>
    <s v="syann29@senate.gov"/>
    <s v="United States"/>
    <s v="Lib"/>
    <s v="L"/>
    <x v="2"/>
    <n v="36.454999999999998"/>
    <n v="109.36499999999999"/>
    <x v="3"/>
    <x v="1"/>
    <x v="0"/>
  </r>
  <r>
    <s v="KXN-85094-246"/>
    <x v="73"/>
    <s v="81744-27332-RR"/>
    <s v="L-M-2.5"/>
    <n v="3"/>
    <s v="Bunny Naulls"/>
    <s v="bnaulls2a@tiny.cc"/>
    <s v="Ireland"/>
    <s v="Lib"/>
    <s v="M"/>
    <x v="2"/>
    <n v="33.464999999999996"/>
    <n v="100.39499999999998"/>
    <x v="3"/>
    <x v="0"/>
    <x v="0"/>
  </r>
  <r>
    <s v="XOQ-12405-419"/>
    <x v="74"/>
    <s v="91513-75657-PH"/>
    <s v="R-D-2.5"/>
    <n v="4"/>
    <s v="Hally Lorait"/>
    <n v="0"/>
    <s v="United States"/>
    <s v="Rob"/>
    <s v="D"/>
    <x v="2"/>
    <n v="20.584999999999997"/>
    <n v="82.339999999999989"/>
    <x v="0"/>
    <x v="2"/>
    <x v="0"/>
  </r>
  <r>
    <s v="HYF-10254-369"/>
    <x v="75"/>
    <s v="30373-66619-CB"/>
    <s v="L-L-0.5"/>
    <n v="1"/>
    <s v="Zaccaria Sherewood"/>
    <s v="zsherewood2c@apache.org"/>
    <s v="United States"/>
    <s v="Lib"/>
    <s v="L"/>
    <x v="1"/>
    <n v="9.51"/>
    <n v="9.51"/>
    <x v="3"/>
    <x v="1"/>
    <x v="1"/>
  </r>
  <r>
    <s v="XXJ-47000-307"/>
    <x v="76"/>
    <s v="31582-23562-FM"/>
    <s v="A-L-2.5"/>
    <n v="3"/>
    <s v="Jeffrey Dufaire"/>
    <s v="jdufaire2d@fc2.com"/>
    <s v="United States"/>
    <s v="Ara"/>
    <s v="L"/>
    <x v="2"/>
    <n v="29.784999999999997"/>
    <n v="89.35499999999999"/>
    <x v="2"/>
    <x v="1"/>
    <x v="1"/>
  </r>
  <r>
    <s v="XXJ-47000-307"/>
    <x v="76"/>
    <s v="31582-23562-FM"/>
    <s v="A-D-0.2"/>
    <n v="4"/>
    <s v="Jeffrey Dufaire"/>
    <s v="jdufaire2d@fc2.com"/>
    <s v="United States"/>
    <s v="Ara"/>
    <s v="D"/>
    <x v="3"/>
    <n v="2.9849999999999999"/>
    <n v="11.94"/>
    <x v="2"/>
    <x v="2"/>
    <x v="1"/>
  </r>
  <r>
    <s v="ZDK-82166-357"/>
    <x v="77"/>
    <s v="81431-12577-VD"/>
    <s v="A-M-1"/>
    <n v="3"/>
    <s v="Beitris Keaveney"/>
    <s v="bkeaveney2f@netlog.com"/>
    <s v="United States"/>
    <s v="Ara"/>
    <s v="M"/>
    <x v="0"/>
    <n v="11.25"/>
    <n v="33.75"/>
    <x v="2"/>
    <x v="0"/>
    <x v="1"/>
  </r>
  <r>
    <s v="IHN-19982-362"/>
    <x v="78"/>
    <s v="68894-91205-MP"/>
    <s v="R-L-1"/>
    <n v="3"/>
    <s v="Elna Grise"/>
    <s v="egrise2g@cargocollective.com"/>
    <s v="United States"/>
    <s v="Rob"/>
    <s v="L"/>
    <x v="0"/>
    <n v="11.95"/>
    <n v="35.849999999999994"/>
    <x v="0"/>
    <x v="1"/>
    <x v="1"/>
  </r>
  <r>
    <s v="VMT-10030-889"/>
    <x v="79"/>
    <s v="87602-55754-VN"/>
    <s v="A-L-1"/>
    <n v="6"/>
    <s v="Torie Gottelier"/>
    <s v="tgottelier2h@vistaprint.com"/>
    <s v="United States"/>
    <s v="Ara"/>
    <s v="L"/>
    <x v="0"/>
    <n v="12.95"/>
    <n v="77.699999999999989"/>
    <x v="2"/>
    <x v="1"/>
    <x v="1"/>
  </r>
  <r>
    <s v="NHL-11063-100"/>
    <x v="80"/>
    <s v="39181-35745-WH"/>
    <s v="A-L-1"/>
    <n v="4"/>
    <s v="Loydie Langlais"/>
    <n v="0"/>
    <s v="Ireland"/>
    <s v="Ara"/>
    <s v="L"/>
    <x v="0"/>
    <n v="12.95"/>
    <n v="51.8"/>
    <x v="2"/>
    <x v="1"/>
    <x v="0"/>
  </r>
  <r>
    <s v="ROV-87448-086"/>
    <x v="81"/>
    <s v="30381-64762-NG"/>
    <s v="A-M-2.5"/>
    <n v="4"/>
    <s v="Adham Greenhead"/>
    <s v="agreenhead2j@dailymail.co.uk"/>
    <s v="United States"/>
    <s v="Ara"/>
    <s v="M"/>
    <x v="2"/>
    <n v="25.874999999999996"/>
    <n v="103.49999999999999"/>
    <x v="2"/>
    <x v="0"/>
    <x v="1"/>
  </r>
  <r>
    <s v="DGY-35773-612"/>
    <x v="82"/>
    <s v="17503-27693-ZH"/>
    <s v="E-L-1"/>
    <n v="3"/>
    <s v="Hamish MacSherry"/>
    <n v="0"/>
    <s v="United States"/>
    <s v="Exc"/>
    <s v="L"/>
    <x v="0"/>
    <n v="14.85"/>
    <n v="44.55"/>
    <x v="1"/>
    <x v="1"/>
    <x v="0"/>
  </r>
  <r>
    <s v="YWH-50638-556"/>
    <x v="83"/>
    <s v="89442-35633-HJ"/>
    <s v="E-L-0.5"/>
    <n v="4"/>
    <s v="Else Langcaster"/>
    <s v="elangcaster2l@spotify.com"/>
    <s v="United Kingdom"/>
    <s v="Exc"/>
    <s v="L"/>
    <x v="1"/>
    <n v="8.91"/>
    <n v="35.64"/>
    <x v="1"/>
    <x v="1"/>
    <x v="0"/>
  </r>
  <r>
    <s v="ISL-11200-600"/>
    <x v="84"/>
    <s v="13654-85265-IL"/>
    <s v="A-D-0.2"/>
    <n v="6"/>
    <s v="Rudy Farquharson"/>
    <n v="0"/>
    <s v="Ireland"/>
    <s v="Ara"/>
    <s v="D"/>
    <x v="3"/>
    <n v="2.9849999999999999"/>
    <n v="17.91"/>
    <x v="2"/>
    <x v="2"/>
    <x v="0"/>
  </r>
  <r>
    <s v="LBZ-75997-047"/>
    <x v="85"/>
    <s v="40946-22090-FP"/>
    <s v="A-M-2.5"/>
    <n v="6"/>
    <s v="Norene Magauran"/>
    <s v="nmagauran2n@51.la"/>
    <s v="United States"/>
    <s v="Ara"/>
    <s v="M"/>
    <x v="2"/>
    <n v="25.874999999999996"/>
    <n v="155.24999999999997"/>
    <x v="2"/>
    <x v="0"/>
    <x v="1"/>
  </r>
  <r>
    <s v="EUH-08089-954"/>
    <x v="86"/>
    <s v="29050-93691-TS"/>
    <s v="A-D-0.2"/>
    <n v="2"/>
    <s v="Vicki Kirdsch"/>
    <s v="vkirdsch2o@google.fr"/>
    <s v="United States"/>
    <s v="Ara"/>
    <s v="D"/>
    <x v="3"/>
    <n v="2.9849999999999999"/>
    <n v="5.97"/>
    <x v="2"/>
    <x v="2"/>
    <x v="1"/>
  </r>
  <r>
    <s v="BLD-12227-251"/>
    <x v="87"/>
    <s v="64395-74865-WF"/>
    <s v="A-M-0.5"/>
    <n v="2"/>
    <s v="Ilysa Whapple"/>
    <s v="iwhapple2p@com.com"/>
    <s v="United States"/>
    <s v="Ara"/>
    <s v="M"/>
    <x v="1"/>
    <n v="6.75"/>
    <n v="13.5"/>
    <x v="2"/>
    <x v="0"/>
    <x v="1"/>
  </r>
  <r>
    <s v="OPY-30711-853"/>
    <x v="25"/>
    <s v="81861-66046-SU"/>
    <s v="A-D-0.2"/>
    <n v="1"/>
    <s v="Ruy Cancellieri"/>
    <n v="0"/>
    <s v="Ireland"/>
    <s v="Ara"/>
    <s v="D"/>
    <x v="3"/>
    <n v="2.9849999999999999"/>
    <n v="2.9849999999999999"/>
    <x v="2"/>
    <x v="2"/>
    <x v="1"/>
  </r>
  <r>
    <s v="DBC-44122-300"/>
    <x v="88"/>
    <s v="13366-78506-KP"/>
    <s v="L-M-0.2"/>
    <n v="3"/>
    <s v="Aube Follett"/>
    <n v="0"/>
    <s v="United States"/>
    <s v="Lib"/>
    <s v="M"/>
    <x v="3"/>
    <n v="4.3650000000000002"/>
    <n v="13.095000000000001"/>
    <x v="3"/>
    <x v="0"/>
    <x v="0"/>
  </r>
  <r>
    <s v="FJQ-60035-234"/>
    <x v="89"/>
    <s v="08847-29858-HN"/>
    <s v="A-L-0.2"/>
    <n v="2"/>
    <s v="Rudiger Di Bartolomeo"/>
    <n v="0"/>
    <s v="United States"/>
    <s v="Ara"/>
    <s v="L"/>
    <x v="3"/>
    <n v="3.8849999999999998"/>
    <n v="7.77"/>
    <x v="2"/>
    <x v="1"/>
    <x v="0"/>
  </r>
  <r>
    <s v="HSF-66926-425"/>
    <x v="90"/>
    <s v="00539-42510-RY"/>
    <s v="L-D-2.5"/>
    <n v="5"/>
    <s v="Nickey Youles"/>
    <s v="nyoules2t@reference.com"/>
    <s v="Ireland"/>
    <s v="Lib"/>
    <s v="D"/>
    <x v="2"/>
    <n v="29.784999999999997"/>
    <n v="148.92499999999998"/>
    <x v="3"/>
    <x v="2"/>
    <x v="0"/>
  </r>
  <r>
    <s v="LQG-41416-375"/>
    <x v="91"/>
    <s v="45190-08727-NV"/>
    <s v="L-D-1"/>
    <n v="3"/>
    <s v="Dyanna Aizikovitz"/>
    <s v="daizikovitz2u@answers.com"/>
    <s v="Ireland"/>
    <s v="Lib"/>
    <s v="D"/>
    <x v="0"/>
    <n v="12.95"/>
    <n v="38.849999999999994"/>
    <x v="3"/>
    <x v="2"/>
    <x v="0"/>
  </r>
  <r>
    <s v="VZO-97265-841"/>
    <x v="92"/>
    <s v="87049-37901-FU"/>
    <s v="R-M-0.2"/>
    <n v="4"/>
    <s v="Bram Revel"/>
    <s v="brevel2v@fastcompany.com"/>
    <s v="United States"/>
    <s v="Rob"/>
    <s v="M"/>
    <x v="3"/>
    <n v="2.9849999999999999"/>
    <n v="11.94"/>
    <x v="0"/>
    <x v="0"/>
    <x v="1"/>
  </r>
  <r>
    <s v="MOR-12987-399"/>
    <x v="93"/>
    <s v="34015-31593-JC"/>
    <s v="L-M-1"/>
    <n v="6"/>
    <s v="Emiline Priddis"/>
    <s v="epriddis2w@nationalgeographic.com"/>
    <s v="United States"/>
    <s v="Lib"/>
    <s v="M"/>
    <x v="0"/>
    <n v="14.55"/>
    <n v="87.300000000000011"/>
    <x v="3"/>
    <x v="0"/>
    <x v="1"/>
  </r>
  <r>
    <s v="UOA-23786-489"/>
    <x v="94"/>
    <s v="90305-50099-SV"/>
    <s v="A-M-0.5"/>
    <n v="6"/>
    <s v="Queenie Veel"/>
    <s v="qveel2x@jugem.jp"/>
    <s v="United States"/>
    <s v="Ara"/>
    <s v="M"/>
    <x v="1"/>
    <n v="6.75"/>
    <n v="40.5"/>
    <x v="2"/>
    <x v="0"/>
    <x v="0"/>
  </r>
  <r>
    <s v="AJL-52941-018"/>
    <x v="95"/>
    <s v="55871-61935-MF"/>
    <s v="E-D-1"/>
    <n v="2"/>
    <s v="Lind Conyers"/>
    <s v="lconyers2y@twitter.com"/>
    <s v="United States"/>
    <s v="Exc"/>
    <s v="D"/>
    <x v="0"/>
    <n v="12.15"/>
    <n v="24.3"/>
    <x v="1"/>
    <x v="2"/>
    <x v="1"/>
  </r>
  <r>
    <s v="XSZ-84273-421"/>
    <x v="96"/>
    <s v="15405-60469-TM"/>
    <s v="R-M-0.5"/>
    <n v="3"/>
    <s v="Pen Wye"/>
    <s v="pwye2z@dagondesign.com"/>
    <s v="United States"/>
    <s v="Rob"/>
    <s v="M"/>
    <x v="1"/>
    <n v="5.97"/>
    <n v="17.91"/>
    <x v="0"/>
    <x v="0"/>
    <x v="0"/>
  </r>
  <r>
    <s v="NUN-48214-216"/>
    <x v="97"/>
    <s v="06953-94794-FB"/>
    <s v="A-M-0.5"/>
    <n v="4"/>
    <s v="Isahella Hagland"/>
    <n v="0"/>
    <s v="United States"/>
    <s v="Ara"/>
    <s v="M"/>
    <x v="1"/>
    <n v="6.75"/>
    <n v="27"/>
    <x v="2"/>
    <x v="0"/>
    <x v="1"/>
  </r>
  <r>
    <s v="AKV-93064-769"/>
    <x v="98"/>
    <s v="22305-40299-CY"/>
    <s v="L-D-0.5"/>
    <n v="1"/>
    <s v="Terry Sheryn"/>
    <s v="tsheryn31@mtv.com"/>
    <s v="United States"/>
    <s v="Lib"/>
    <s v="D"/>
    <x v="1"/>
    <n v="7.77"/>
    <n v="7.77"/>
    <x v="3"/>
    <x v="2"/>
    <x v="0"/>
  </r>
  <r>
    <s v="BRB-40903-533"/>
    <x v="99"/>
    <s v="09020-56774-GU"/>
    <s v="E-L-0.2"/>
    <n v="3"/>
    <s v="Marie-jeanne Redgrave"/>
    <s v="mredgrave32@cargocollective.com"/>
    <s v="United States"/>
    <s v="Exc"/>
    <s v="L"/>
    <x v="3"/>
    <n v="4.4550000000000001"/>
    <n v="13.365"/>
    <x v="1"/>
    <x v="1"/>
    <x v="0"/>
  </r>
  <r>
    <s v="GPR-19973-483"/>
    <x v="100"/>
    <s v="92926-08470-YS"/>
    <s v="R-D-0.5"/>
    <n v="5"/>
    <s v="Betty Fominov"/>
    <s v="bfominov33@yale.edu"/>
    <s v="United States"/>
    <s v="Rob"/>
    <s v="D"/>
    <x v="1"/>
    <n v="5.3699999999999992"/>
    <n v="26.849999999999994"/>
    <x v="0"/>
    <x v="2"/>
    <x v="1"/>
  </r>
  <r>
    <s v="XIY-43041-882"/>
    <x v="101"/>
    <s v="07250-63194-JO"/>
    <s v="A-M-1"/>
    <n v="1"/>
    <s v="Shawnee Critchlow"/>
    <s v="scritchlow34@un.org"/>
    <s v="United States"/>
    <s v="Ara"/>
    <s v="M"/>
    <x v="0"/>
    <n v="11.25"/>
    <n v="11.25"/>
    <x v="2"/>
    <x v="0"/>
    <x v="1"/>
  </r>
  <r>
    <s v="YGY-98425-969"/>
    <x v="102"/>
    <s v="63787-96257-TQ"/>
    <s v="L-M-1"/>
    <n v="1"/>
    <s v="Merrel Steptow"/>
    <s v="msteptow35@earthlink.net"/>
    <s v="Ireland"/>
    <s v="Lib"/>
    <s v="M"/>
    <x v="0"/>
    <n v="14.55"/>
    <n v="14.55"/>
    <x v="3"/>
    <x v="0"/>
    <x v="1"/>
  </r>
  <r>
    <s v="MSB-08397-648"/>
    <x v="103"/>
    <s v="49530-25460-RW"/>
    <s v="R-L-0.2"/>
    <n v="4"/>
    <s v="Carmina Hubbuck"/>
    <n v="0"/>
    <s v="United States"/>
    <s v="Rob"/>
    <s v="L"/>
    <x v="3"/>
    <n v="3.5849999999999995"/>
    <n v="14.339999999999998"/>
    <x v="0"/>
    <x v="1"/>
    <x v="1"/>
  </r>
  <r>
    <s v="WDR-06028-345"/>
    <x v="104"/>
    <s v="66508-21373-OQ"/>
    <s v="L-L-1"/>
    <n v="1"/>
    <s v="Ingeberg Mulliner"/>
    <s v="imulliner37@pinterest.com"/>
    <s v="United Kingdom"/>
    <s v="Lib"/>
    <s v="L"/>
    <x v="0"/>
    <n v="15.85"/>
    <n v="15.85"/>
    <x v="3"/>
    <x v="1"/>
    <x v="1"/>
  </r>
  <r>
    <s v="MXM-42948-061"/>
    <x v="105"/>
    <s v="20203-03950-FY"/>
    <s v="L-L-0.2"/>
    <n v="4"/>
    <s v="Geneva Standley"/>
    <s v="gstandley38@dion.ne.jp"/>
    <s v="Ireland"/>
    <s v="Lib"/>
    <s v="L"/>
    <x v="3"/>
    <n v="4.7549999999999999"/>
    <n v="19.02"/>
    <x v="3"/>
    <x v="1"/>
    <x v="0"/>
  </r>
  <r>
    <s v="MGQ-98961-173"/>
    <x v="11"/>
    <s v="83895-90735-XH"/>
    <s v="L-L-0.5"/>
    <n v="4"/>
    <s v="Brook Drage"/>
    <s v="bdrage39@youku.com"/>
    <s v="United States"/>
    <s v="Lib"/>
    <s v="L"/>
    <x v="1"/>
    <n v="9.51"/>
    <n v="38.04"/>
    <x v="3"/>
    <x v="1"/>
    <x v="1"/>
  </r>
  <r>
    <s v="RFH-64349-897"/>
    <x v="106"/>
    <s v="61954-61462-RJ"/>
    <s v="E-D-0.5"/>
    <n v="3"/>
    <s v="Muffin Yallop"/>
    <s v="myallop3a@fema.gov"/>
    <s v="United States"/>
    <s v="Exc"/>
    <s v="D"/>
    <x v="1"/>
    <n v="7.29"/>
    <n v="21.87"/>
    <x v="1"/>
    <x v="2"/>
    <x v="0"/>
  </r>
  <r>
    <s v="TKL-20738-660"/>
    <x v="107"/>
    <s v="47939-53158-LS"/>
    <s v="E-M-0.2"/>
    <n v="1"/>
    <s v="Cordi Switsur"/>
    <s v="cswitsur3b@chronoengine.com"/>
    <s v="United States"/>
    <s v="Exc"/>
    <s v="M"/>
    <x v="3"/>
    <n v="4.125"/>
    <n v="4.125"/>
    <x v="1"/>
    <x v="0"/>
    <x v="1"/>
  </r>
  <r>
    <s v="TKL-20738-660"/>
    <x v="107"/>
    <s v="47939-53158-LS"/>
    <s v="A-L-0.2"/>
    <n v="1"/>
    <s v="Cordi Switsur"/>
    <s v="cswitsur3b@chronoengine.com"/>
    <s v="United States"/>
    <s v="Ara"/>
    <s v="L"/>
    <x v="3"/>
    <n v="3.8849999999999998"/>
    <n v="3.8849999999999998"/>
    <x v="2"/>
    <x v="1"/>
    <x v="1"/>
  </r>
  <r>
    <s v="TKL-20738-660"/>
    <x v="107"/>
    <s v="47939-53158-LS"/>
    <s v="E-M-1"/>
    <n v="5"/>
    <s v="Cordi Switsur"/>
    <s v="cswitsur3b@chronoengine.com"/>
    <s v="United States"/>
    <s v="Exc"/>
    <s v="M"/>
    <x v="0"/>
    <n v="13.75"/>
    <n v="68.75"/>
    <x v="1"/>
    <x v="0"/>
    <x v="1"/>
  </r>
  <r>
    <s v="GOW-03198-575"/>
    <x v="108"/>
    <s v="61513-27752-FA"/>
    <s v="A-D-0.5"/>
    <n v="4"/>
    <s v="Mahala Ludwell"/>
    <s v="mludwell3e@blogger.com"/>
    <s v="United States"/>
    <s v="Ara"/>
    <s v="D"/>
    <x v="1"/>
    <n v="5.97"/>
    <n v="23.88"/>
    <x v="2"/>
    <x v="2"/>
    <x v="0"/>
  </r>
  <r>
    <s v="QJB-90477-635"/>
    <x v="109"/>
    <s v="89714-19856-WX"/>
    <s v="L-L-2.5"/>
    <n v="4"/>
    <s v="Doll Beauchamp"/>
    <s v="dbeauchamp3f@usda.gov"/>
    <s v="United States"/>
    <s v="Lib"/>
    <s v="L"/>
    <x v="2"/>
    <n v="36.454999999999998"/>
    <n v="145.82"/>
    <x v="3"/>
    <x v="1"/>
    <x v="1"/>
  </r>
  <r>
    <s v="MWP-46239-785"/>
    <x v="110"/>
    <s v="87979-56781-YV"/>
    <s v="L-M-0.2"/>
    <n v="5"/>
    <s v="Stanford Rodliff"/>
    <s v="srodliff3g@ted.com"/>
    <s v="United States"/>
    <s v="Lib"/>
    <s v="M"/>
    <x v="3"/>
    <n v="4.3650000000000002"/>
    <n v="21.825000000000003"/>
    <x v="3"/>
    <x v="0"/>
    <x v="0"/>
  </r>
  <r>
    <s v="QDV-03406-248"/>
    <x v="111"/>
    <s v="74126-88836-KA"/>
    <s v="L-M-0.5"/>
    <n v="3"/>
    <s v="Stevana Woodham"/>
    <s v="swoodham3h@businesswire.com"/>
    <s v="Ireland"/>
    <s v="Lib"/>
    <s v="M"/>
    <x v="1"/>
    <n v="8.73"/>
    <n v="26.19"/>
    <x v="3"/>
    <x v="0"/>
    <x v="0"/>
  </r>
  <r>
    <s v="GPH-40635-105"/>
    <x v="112"/>
    <s v="37397-05992-VO"/>
    <s v="A-M-1"/>
    <n v="1"/>
    <s v="Hewet Synnot"/>
    <s v="hsynnot3i@about.com"/>
    <s v="United States"/>
    <s v="Ara"/>
    <s v="M"/>
    <x v="0"/>
    <n v="11.25"/>
    <n v="11.25"/>
    <x v="2"/>
    <x v="0"/>
    <x v="1"/>
  </r>
  <r>
    <s v="JOM-80930-071"/>
    <x v="113"/>
    <s v="54904-18397-UD"/>
    <s v="L-D-1"/>
    <n v="6"/>
    <s v="Raleigh Lepere"/>
    <s v="rlepere3j@shop-pro.jp"/>
    <s v="Ireland"/>
    <s v="Lib"/>
    <s v="D"/>
    <x v="0"/>
    <n v="12.95"/>
    <n v="77.699999999999989"/>
    <x v="3"/>
    <x v="2"/>
    <x v="1"/>
  </r>
  <r>
    <s v="OIL-26493-755"/>
    <x v="114"/>
    <s v="19017-95853-EK"/>
    <s v="A-M-0.5"/>
    <n v="1"/>
    <s v="Timofei Woofinden"/>
    <s v="twoofinden3k@businesswire.com"/>
    <s v="United States"/>
    <s v="Ara"/>
    <s v="M"/>
    <x v="1"/>
    <n v="6.75"/>
    <n v="6.75"/>
    <x v="2"/>
    <x v="0"/>
    <x v="1"/>
  </r>
  <r>
    <s v="CYV-13426-645"/>
    <x v="115"/>
    <s v="88593-59934-VU"/>
    <s v="E-D-1"/>
    <n v="1"/>
    <s v="Evelina Dacca"/>
    <s v="edacca3l@google.pl"/>
    <s v="United States"/>
    <s v="Exc"/>
    <s v="D"/>
    <x v="0"/>
    <n v="12.15"/>
    <n v="12.15"/>
    <x v="1"/>
    <x v="2"/>
    <x v="0"/>
  </r>
  <r>
    <s v="WRP-39846-614"/>
    <x v="49"/>
    <s v="47493-68564-YM"/>
    <s v="A-L-2.5"/>
    <n v="5"/>
    <s v="Bidget Tremellier"/>
    <n v="0"/>
    <s v="Ireland"/>
    <s v="Ara"/>
    <s v="L"/>
    <x v="2"/>
    <n v="29.784999999999997"/>
    <n v="148.92499999999998"/>
    <x v="2"/>
    <x v="1"/>
    <x v="0"/>
  </r>
  <r>
    <s v="VDZ-76673-968"/>
    <x v="116"/>
    <s v="82246-82543-DW"/>
    <s v="E-D-0.5"/>
    <n v="2"/>
    <s v="Bobinette Hindsberg"/>
    <s v="bhindsberg3n@blogs.com"/>
    <s v="United States"/>
    <s v="Exc"/>
    <s v="D"/>
    <x v="1"/>
    <n v="7.29"/>
    <n v="14.58"/>
    <x v="1"/>
    <x v="2"/>
    <x v="0"/>
  </r>
  <r>
    <s v="VTV-03546-175"/>
    <x v="117"/>
    <s v="03384-62101-IY"/>
    <s v="A-L-2.5"/>
    <n v="5"/>
    <s v="Osbert Robins"/>
    <s v="orobins3o@salon.com"/>
    <s v="United States"/>
    <s v="Ara"/>
    <s v="L"/>
    <x v="2"/>
    <n v="29.784999999999997"/>
    <n v="148.92499999999998"/>
    <x v="2"/>
    <x v="1"/>
    <x v="0"/>
  </r>
  <r>
    <s v="GHR-72274-715"/>
    <x v="118"/>
    <s v="86881-41559-OR"/>
    <s v="L-D-1"/>
    <n v="1"/>
    <s v="Othello Syseland"/>
    <s v="osyseland3p@independent.co.uk"/>
    <s v="United States"/>
    <s v="Lib"/>
    <s v="D"/>
    <x v="0"/>
    <n v="12.95"/>
    <n v="12.95"/>
    <x v="3"/>
    <x v="2"/>
    <x v="1"/>
  </r>
  <r>
    <s v="ZGK-97262-313"/>
    <x v="119"/>
    <s v="02536-18494-AQ"/>
    <s v="E-M-2.5"/>
    <n v="3"/>
    <s v="Ewell Hanby"/>
    <n v="0"/>
    <s v="United States"/>
    <s v="Exc"/>
    <s v="M"/>
    <x v="2"/>
    <n v="31.624999999999996"/>
    <n v="94.874999999999986"/>
    <x v="1"/>
    <x v="0"/>
    <x v="0"/>
  </r>
  <r>
    <s v="ZFS-30776-804"/>
    <x v="120"/>
    <s v="58638-01029-CB"/>
    <s v="A-L-0.5"/>
    <n v="5"/>
    <s v="Blancha McAmish"/>
    <s v="bmcamish2e@tripadvisor.com"/>
    <s v="United States"/>
    <s v="Ara"/>
    <s v="L"/>
    <x v="1"/>
    <n v="7.77"/>
    <n v="38.849999999999994"/>
    <x v="2"/>
    <x v="1"/>
    <x v="0"/>
  </r>
  <r>
    <s v="QUU-91729-492"/>
    <x v="121"/>
    <s v="90312-11148-LA"/>
    <s v="A-D-0.2"/>
    <n v="4"/>
    <s v="Lowell Keenleyside"/>
    <s v="lkeenleyside3s@topsy.com"/>
    <s v="United States"/>
    <s v="Ara"/>
    <s v="D"/>
    <x v="3"/>
    <n v="2.9849999999999999"/>
    <n v="11.94"/>
    <x v="2"/>
    <x v="2"/>
    <x v="1"/>
  </r>
  <r>
    <s v="PVI-72795-960"/>
    <x v="122"/>
    <s v="68239-74809-TF"/>
    <s v="E-L-2.5"/>
    <n v="3"/>
    <s v="Elonore Joliffe"/>
    <n v="0"/>
    <s v="Ireland"/>
    <s v="Exc"/>
    <s v="L"/>
    <x v="2"/>
    <n v="34.154999999999994"/>
    <n v="102.46499999999997"/>
    <x v="1"/>
    <x v="1"/>
    <x v="1"/>
  </r>
  <r>
    <s v="PPP-78935-365"/>
    <x v="123"/>
    <s v="91074-60023-IP"/>
    <s v="E-D-1"/>
    <n v="4"/>
    <s v="Abraham Coleman"/>
    <n v="0"/>
    <s v="United States"/>
    <s v="Exc"/>
    <s v="D"/>
    <x v="0"/>
    <n v="12.15"/>
    <n v="48.6"/>
    <x v="1"/>
    <x v="2"/>
    <x v="1"/>
  </r>
  <r>
    <s v="JUO-34131-517"/>
    <x v="124"/>
    <s v="07972-83748-JI"/>
    <s v="L-D-1"/>
    <n v="6"/>
    <s v="Rivy Farington"/>
    <n v="0"/>
    <s v="United States"/>
    <s v="Lib"/>
    <s v="D"/>
    <x v="0"/>
    <n v="12.95"/>
    <n v="77.699999999999989"/>
    <x v="3"/>
    <x v="2"/>
    <x v="0"/>
  </r>
  <r>
    <s v="ZJE-89333-489"/>
    <x v="125"/>
    <s v="08694-57330-XR"/>
    <s v="L-D-2.5"/>
    <n v="1"/>
    <s v="Vallie Kundt"/>
    <s v="vkundt3w@bigcartel.com"/>
    <s v="Ireland"/>
    <s v="Lib"/>
    <s v="D"/>
    <x v="2"/>
    <n v="29.784999999999997"/>
    <n v="29.784999999999997"/>
    <x v="3"/>
    <x v="2"/>
    <x v="0"/>
  </r>
  <r>
    <s v="LOO-35324-159"/>
    <x v="126"/>
    <s v="68412-11126-YJ"/>
    <s v="A-L-0.2"/>
    <n v="4"/>
    <s v="Boyd Bett"/>
    <s v="bbett3x@google.de"/>
    <s v="United States"/>
    <s v="Ara"/>
    <s v="L"/>
    <x v="3"/>
    <n v="3.8849999999999998"/>
    <n v="15.54"/>
    <x v="2"/>
    <x v="1"/>
    <x v="0"/>
  </r>
  <r>
    <s v="JBQ-93412-846"/>
    <x v="127"/>
    <s v="69037-66822-DW"/>
    <s v="E-L-2.5"/>
    <n v="4"/>
    <s v="Julio Armytage"/>
    <n v="0"/>
    <s v="Ireland"/>
    <s v="Exc"/>
    <s v="L"/>
    <x v="2"/>
    <n v="34.154999999999994"/>
    <n v="136.61999999999998"/>
    <x v="1"/>
    <x v="1"/>
    <x v="0"/>
  </r>
  <r>
    <s v="EHX-66333-637"/>
    <x v="128"/>
    <s v="01297-94364-XH"/>
    <s v="L-M-0.5"/>
    <n v="2"/>
    <s v="Deana Staite"/>
    <s v="dstaite3z@scientificamerican.com"/>
    <s v="United States"/>
    <s v="Lib"/>
    <s v="M"/>
    <x v="1"/>
    <n v="8.73"/>
    <n v="17.46"/>
    <x v="3"/>
    <x v="0"/>
    <x v="1"/>
  </r>
  <r>
    <s v="WXG-25759-236"/>
    <x v="103"/>
    <s v="39919-06540-ZI"/>
    <s v="E-L-2.5"/>
    <n v="2"/>
    <s v="Winn Keyse"/>
    <s v="wkeyse40@apple.com"/>
    <s v="United States"/>
    <s v="Exc"/>
    <s v="L"/>
    <x v="2"/>
    <n v="34.154999999999994"/>
    <n v="68.309999999999988"/>
    <x v="1"/>
    <x v="1"/>
    <x v="0"/>
  </r>
  <r>
    <s v="QNA-31113-984"/>
    <x v="129"/>
    <s v="60512-78550-WS"/>
    <s v="L-M-0.2"/>
    <n v="4"/>
    <s v="Osmund Clausen-Thue"/>
    <s v="oclausenthue41@marriott.com"/>
    <s v="United States"/>
    <s v="Lib"/>
    <s v="M"/>
    <x v="3"/>
    <n v="4.3650000000000002"/>
    <n v="17.46"/>
    <x v="3"/>
    <x v="0"/>
    <x v="1"/>
  </r>
  <r>
    <s v="ZWI-52029-159"/>
    <x v="130"/>
    <s v="40172-12000-AU"/>
    <s v="L-M-1"/>
    <n v="3"/>
    <s v="Leonore Francisco"/>
    <s v="lfrancisco42@fema.gov"/>
    <s v="United States"/>
    <s v="Lib"/>
    <s v="M"/>
    <x v="0"/>
    <n v="14.55"/>
    <n v="43.650000000000006"/>
    <x v="3"/>
    <x v="0"/>
    <x v="1"/>
  </r>
  <r>
    <s v="ZWI-52029-159"/>
    <x v="130"/>
    <s v="40172-12000-AU"/>
    <s v="E-M-1"/>
    <n v="2"/>
    <s v="Leonore Francisco"/>
    <s v="lfrancisco42@fema.gov"/>
    <s v="United States"/>
    <s v="Exc"/>
    <s v="M"/>
    <x v="0"/>
    <n v="13.75"/>
    <n v="27.5"/>
    <x v="1"/>
    <x v="0"/>
    <x v="1"/>
  </r>
  <r>
    <s v="DFS-49954-707"/>
    <x v="131"/>
    <s v="39019-13649-CL"/>
    <s v="E-D-0.2"/>
    <n v="5"/>
    <s v="Giacobo Skingle"/>
    <s v="gskingle44@clickbank.net"/>
    <s v="United States"/>
    <s v="Exc"/>
    <s v="D"/>
    <x v="3"/>
    <n v="3.645"/>
    <n v="18.225000000000001"/>
    <x v="1"/>
    <x v="2"/>
    <x v="0"/>
  </r>
  <r>
    <s v="VYP-89830-878"/>
    <x v="132"/>
    <s v="12715-05198-QU"/>
    <s v="A-M-2.5"/>
    <n v="2"/>
    <s v="Gerard Pirdy"/>
    <n v="0"/>
    <s v="United States"/>
    <s v="Ara"/>
    <s v="M"/>
    <x v="2"/>
    <n v="25.874999999999996"/>
    <n v="51.749999999999993"/>
    <x v="2"/>
    <x v="0"/>
    <x v="0"/>
  </r>
  <r>
    <s v="AMT-40418-362"/>
    <x v="133"/>
    <s v="04513-76520-QO"/>
    <s v="L-D-1"/>
    <n v="1"/>
    <s v="Jacinthe Balsillie"/>
    <s v="jbalsillie46@princeton.edu"/>
    <s v="United States"/>
    <s v="Lib"/>
    <s v="D"/>
    <x v="0"/>
    <n v="12.95"/>
    <n v="12.95"/>
    <x v="3"/>
    <x v="2"/>
    <x v="0"/>
  </r>
  <r>
    <s v="NFQ-23241-793"/>
    <x v="134"/>
    <s v="88446-59251-SQ"/>
    <s v="A-M-1"/>
    <n v="3"/>
    <s v="Quinton Fouracres"/>
    <n v="0"/>
    <s v="United States"/>
    <s v="Ara"/>
    <s v="M"/>
    <x v="0"/>
    <n v="11.25"/>
    <n v="33.75"/>
    <x v="2"/>
    <x v="0"/>
    <x v="0"/>
  </r>
  <r>
    <s v="JQK-64922-985"/>
    <x v="113"/>
    <s v="23779-10274-KN"/>
    <s v="R-M-2.5"/>
    <n v="3"/>
    <s v="Bettina Leffek"/>
    <s v="bleffek48@ning.com"/>
    <s v="United States"/>
    <s v="Rob"/>
    <s v="M"/>
    <x v="2"/>
    <n v="22.884999999999998"/>
    <n v="68.655000000000001"/>
    <x v="0"/>
    <x v="0"/>
    <x v="0"/>
  </r>
  <r>
    <s v="YET-17732-678"/>
    <x v="135"/>
    <s v="57235-92842-DK"/>
    <s v="R-D-0.2"/>
    <n v="1"/>
    <s v="Hetti Penson"/>
    <n v="0"/>
    <s v="United States"/>
    <s v="Rob"/>
    <s v="D"/>
    <x v="3"/>
    <n v="2.6849999999999996"/>
    <n v="2.6849999999999996"/>
    <x v="0"/>
    <x v="2"/>
    <x v="1"/>
  </r>
  <r>
    <s v="NKW-24945-846"/>
    <x v="35"/>
    <s v="75977-30364-AY"/>
    <s v="A-D-2.5"/>
    <n v="5"/>
    <s v="Jocko Pray"/>
    <s v="jpray4a@youtube.com"/>
    <s v="United States"/>
    <s v="Ara"/>
    <s v="D"/>
    <x v="2"/>
    <n v="22.884999999999998"/>
    <n v="114.42499999999998"/>
    <x v="2"/>
    <x v="2"/>
    <x v="1"/>
  </r>
  <r>
    <s v="VKA-82720-513"/>
    <x v="136"/>
    <s v="12299-30914-NG"/>
    <s v="A-M-2.5"/>
    <n v="6"/>
    <s v="Grete Holborn"/>
    <s v="gholborn4b@ow.ly"/>
    <s v="United States"/>
    <s v="Ara"/>
    <s v="M"/>
    <x v="2"/>
    <n v="25.874999999999996"/>
    <n v="155.24999999999997"/>
    <x v="2"/>
    <x v="0"/>
    <x v="0"/>
  </r>
  <r>
    <s v="THA-60599-417"/>
    <x v="137"/>
    <s v="59971-35626-YJ"/>
    <s v="A-M-2.5"/>
    <n v="3"/>
    <s v="Fielding Keinrat"/>
    <s v="fkeinrat4c@dailymail.co.uk"/>
    <s v="United States"/>
    <s v="Ara"/>
    <s v="M"/>
    <x v="2"/>
    <n v="25.874999999999996"/>
    <n v="77.624999999999986"/>
    <x v="2"/>
    <x v="0"/>
    <x v="0"/>
  </r>
  <r>
    <s v="MEK-39769-035"/>
    <x v="138"/>
    <s v="15380-76513-PS"/>
    <s v="R-D-2.5"/>
    <n v="3"/>
    <s v="Paulo Yea"/>
    <s v="pyea4d@aol.com"/>
    <s v="Ireland"/>
    <s v="Rob"/>
    <s v="D"/>
    <x v="2"/>
    <n v="20.584999999999997"/>
    <n v="61.754999999999995"/>
    <x v="0"/>
    <x v="2"/>
    <x v="1"/>
  </r>
  <r>
    <s v="JAF-18294-750"/>
    <x v="139"/>
    <s v="73564-98204-EY"/>
    <s v="R-D-2.5"/>
    <n v="6"/>
    <s v="Say Risborough"/>
    <n v="0"/>
    <s v="United States"/>
    <s v="Rob"/>
    <s v="D"/>
    <x v="2"/>
    <n v="20.584999999999997"/>
    <n v="123.50999999999999"/>
    <x v="0"/>
    <x v="2"/>
    <x v="0"/>
  </r>
  <r>
    <s v="TME-59627-221"/>
    <x v="140"/>
    <s v="72282-40594-RX"/>
    <s v="L-L-2.5"/>
    <n v="6"/>
    <s v="Alexa Sizey"/>
    <n v="0"/>
    <s v="United States"/>
    <s v="Lib"/>
    <s v="L"/>
    <x v="2"/>
    <n v="36.454999999999998"/>
    <n v="218.73"/>
    <x v="3"/>
    <x v="1"/>
    <x v="1"/>
  </r>
  <r>
    <s v="UDG-65353-824"/>
    <x v="141"/>
    <s v="17514-94165-RJ"/>
    <s v="E-M-0.5"/>
    <n v="4"/>
    <s v="Kari Swede"/>
    <s v="kswede4g@addthis.com"/>
    <s v="United States"/>
    <s v="Exc"/>
    <s v="M"/>
    <x v="1"/>
    <n v="8.25"/>
    <n v="33"/>
    <x v="1"/>
    <x v="0"/>
    <x v="1"/>
  </r>
  <r>
    <s v="ENQ-42923-176"/>
    <x v="142"/>
    <s v="56248-75861-JX"/>
    <s v="A-L-0.5"/>
    <n v="3"/>
    <s v="Leontine Rubrow"/>
    <s v="lrubrow4h@microsoft.com"/>
    <s v="United States"/>
    <s v="Ara"/>
    <s v="L"/>
    <x v="1"/>
    <n v="7.77"/>
    <n v="23.31"/>
    <x v="2"/>
    <x v="1"/>
    <x v="1"/>
  </r>
  <r>
    <s v="CBT-55781-720"/>
    <x v="143"/>
    <s v="97855-54761-IS"/>
    <s v="E-D-0.5"/>
    <n v="3"/>
    <s v="Dottie Tift"/>
    <s v="dtift4i@netvibes.com"/>
    <s v="United States"/>
    <s v="Exc"/>
    <s v="D"/>
    <x v="1"/>
    <n v="7.29"/>
    <n v="21.87"/>
    <x v="1"/>
    <x v="2"/>
    <x v="0"/>
  </r>
  <r>
    <s v="NEU-86533-016"/>
    <x v="144"/>
    <s v="96544-91644-IT"/>
    <s v="R-D-0.2"/>
    <n v="6"/>
    <s v="Gerardo Schonfeld"/>
    <s v="gschonfeld4j@oracle.com"/>
    <s v="United States"/>
    <s v="Rob"/>
    <s v="D"/>
    <x v="3"/>
    <n v="2.6849999999999996"/>
    <n v="16.11"/>
    <x v="0"/>
    <x v="2"/>
    <x v="1"/>
  </r>
  <r>
    <s v="BYU-58154-603"/>
    <x v="145"/>
    <s v="51971-70393-QM"/>
    <s v="E-D-0.5"/>
    <n v="4"/>
    <s v="Claiborne Feye"/>
    <s v="cfeye4k@google.co.jp"/>
    <s v="Ireland"/>
    <s v="Exc"/>
    <s v="D"/>
    <x v="1"/>
    <n v="7.29"/>
    <n v="29.16"/>
    <x v="1"/>
    <x v="2"/>
    <x v="1"/>
  </r>
  <r>
    <s v="EHJ-05910-257"/>
    <x v="146"/>
    <s v="06812-11924-IK"/>
    <s v="R-D-1"/>
    <n v="6"/>
    <s v="Mina Elstone"/>
    <n v="0"/>
    <s v="United States"/>
    <s v="Rob"/>
    <s v="D"/>
    <x v="0"/>
    <n v="8.9499999999999993"/>
    <n v="53.699999999999996"/>
    <x v="0"/>
    <x v="2"/>
    <x v="0"/>
  </r>
  <r>
    <s v="EIL-44855-309"/>
    <x v="147"/>
    <s v="59741-90220-OW"/>
    <s v="R-D-0.5"/>
    <n v="5"/>
    <s v="Sherman Mewrcik"/>
    <n v="0"/>
    <s v="United States"/>
    <s v="Rob"/>
    <s v="D"/>
    <x v="1"/>
    <n v="5.3699999999999992"/>
    <n v="26.849999999999994"/>
    <x v="0"/>
    <x v="2"/>
    <x v="0"/>
  </r>
  <r>
    <s v="HCA-87224-420"/>
    <x v="148"/>
    <s v="62682-27930-PD"/>
    <s v="E-M-0.5"/>
    <n v="5"/>
    <s v="Tamarah Fero"/>
    <s v="tfero4n@comsenz.com"/>
    <s v="United States"/>
    <s v="Exc"/>
    <s v="M"/>
    <x v="1"/>
    <n v="8.25"/>
    <n v="41.25"/>
    <x v="1"/>
    <x v="0"/>
    <x v="0"/>
  </r>
  <r>
    <s v="ABO-29054-365"/>
    <x v="149"/>
    <s v="00256-19905-YG"/>
    <s v="A-M-0.5"/>
    <n v="6"/>
    <s v="Stanislaus Valsler"/>
    <n v="0"/>
    <s v="Ireland"/>
    <s v="Ara"/>
    <s v="M"/>
    <x v="1"/>
    <n v="6.75"/>
    <n v="40.5"/>
    <x v="2"/>
    <x v="0"/>
    <x v="1"/>
  </r>
  <r>
    <s v="TKN-58485-031"/>
    <x v="150"/>
    <s v="38890-22576-UI"/>
    <s v="R-D-1"/>
    <n v="2"/>
    <s v="Felita Dauney"/>
    <s v="fdauney4p@sphinn.com"/>
    <s v="Ireland"/>
    <s v="Rob"/>
    <s v="D"/>
    <x v="0"/>
    <n v="8.9499999999999993"/>
    <n v="17.899999999999999"/>
    <x v="0"/>
    <x v="2"/>
    <x v="1"/>
  </r>
  <r>
    <s v="RCK-04069-371"/>
    <x v="151"/>
    <s v="94573-61802-PH"/>
    <s v="E-L-2.5"/>
    <n v="2"/>
    <s v="Serena Earley"/>
    <s v="searley4q@youku.com"/>
    <s v="United Kingdom"/>
    <s v="Exc"/>
    <s v="L"/>
    <x v="2"/>
    <n v="34.154999999999994"/>
    <n v="68.309999999999988"/>
    <x v="1"/>
    <x v="1"/>
    <x v="1"/>
  </r>
  <r>
    <s v="IRJ-67095-738"/>
    <x v="13"/>
    <s v="86447-02699-UT"/>
    <s v="E-M-2.5"/>
    <n v="2"/>
    <s v="Minny Chamberlayne"/>
    <s v="mchamberlayne4r@bigcartel.com"/>
    <s v="United States"/>
    <s v="Exc"/>
    <s v="M"/>
    <x v="2"/>
    <n v="31.624999999999996"/>
    <n v="63.249999999999993"/>
    <x v="1"/>
    <x v="0"/>
    <x v="0"/>
  </r>
  <r>
    <s v="VEA-31961-977"/>
    <x v="79"/>
    <s v="51432-27169-KN"/>
    <s v="E-D-0.5"/>
    <n v="3"/>
    <s v="Bartholemy Flaherty"/>
    <s v="bflaherty4s@moonfruit.com"/>
    <s v="Ireland"/>
    <s v="Exc"/>
    <s v="D"/>
    <x v="1"/>
    <n v="7.29"/>
    <n v="21.87"/>
    <x v="1"/>
    <x v="2"/>
    <x v="1"/>
  </r>
  <r>
    <s v="BAF-42286-205"/>
    <x v="152"/>
    <s v="43074-00987-PB"/>
    <s v="R-M-2.5"/>
    <n v="4"/>
    <s v="Oran Colbeck"/>
    <s v="ocolbeck4t@sina.com.cn"/>
    <s v="United States"/>
    <s v="Rob"/>
    <s v="M"/>
    <x v="2"/>
    <n v="22.884999999999998"/>
    <n v="91.539999999999992"/>
    <x v="0"/>
    <x v="0"/>
    <x v="1"/>
  </r>
  <r>
    <s v="WOR-52762-511"/>
    <x v="153"/>
    <s v="04739-85772-QT"/>
    <s v="E-L-2.5"/>
    <n v="6"/>
    <s v="Elysee Sketch"/>
    <n v="0"/>
    <s v="United States"/>
    <s v="Exc"/>
    <s v="L"/>
    <x v="2"/>
    <n v="34.154999999999994"/>
    <n v="204.92999999999995"/>
    <x v="1"/>
    <x v="1"/>
    <x v="0"/>
  </r>
  <r>
    <s v="ZWK-03995-815"/>
    <x v="154"/>
    <s v="28279-78469-YW"/>
    <s v="E-M-2.5"/>
    <n v="2"/>
    <s v="Ethelda Hobbing"/>
    <s v="ehobbing4v@nsw.gov.au"/>
    <s v="United States"/>
    <s v="Exc"/>
    <s v="M"/>
    <x v="2"/>
    <n v="31.624999999999996"/>
    <n v="63.249999999999993"/>
    <x v="1"/>
    <x v="0"/>
    <x v="0"/>
  </r>
  <r>
    <s v="CKF-43291-846"/>
    <x v="155"/>
    <s v="91829-99544-DS"/>
    <s v="E-L-2.5"/>
    <n v="1"/>
    <s v="Odille Thynne"/>
    <s v="othynne4w@auda.org.au"/>
    <s v="United States"/>
    <s v="Exc"/>
    <s v="L"/>
    <x v="2"/>
    <n v="34.154999999999994"/>
    <n v="34.154999999999994"/>
    <x v="1"/>
    <x v="1"/>
    <x v="0"/>
  </r>
  <r>
    <s v="RMW-74160-339"/>
    <x v="156"/>
    <s v="38978-59582-JP"/>
    <s v="R-L-2.5"/>
    <n v="4"/>
    <s v="Emlynne Heining"/>
    <s v="eheining4x@flickr.com"/>
    <s v="United States"/>
    <s v="Rob"/>
    <s v="L"/>
    <x v="2"/>
    <n v="27.484999999999996"/>
    <n v="109.93999999999998"/>
    <x v="0"/>
    <x v="1"/>
    <x v="0"/>
  </r>
  <r>
    <s v="FMT-94584-786"/>
    <x v="22"/>
    <s v="86504-96610-BH"/>
    <s v="A-L-1"/>
    <n v="2"/>
    <s v="Katerina Melloi"/>
    <s v="kmelloi4y@imdb.com"/>
    <s v="United States"/>
    <s v="Ara"/>
    <s v="L"/>
    <x v="0"/>
    <n v="12.95"/>
    <n v="25.9"/>
    <x v="2"/>
    <x v="1"/>
    <x v="1"/>
  </r>
  <r>
    <s v="NWT-78222-575"/>
    <x v="157"/>
    <s v="75986-98864-EZ"/>
    <s v="A-D-0.2"/>
    <n v="1"/>
    <s v="Tiffany Scardafield"/>
    <n v="0"/>
    <s v="Ireland"/>
    <s v="Ara"/>
    <s v="D"/>
    <x v="3"/>
    <n v="2.9849999999999999"/>
    <n v="2.9849999999999999"/>
    <x v="2"/>
    <x v="2"/>
    <x v="1"/>
  </r>
  <r>
    <s v="EOI-02511-919"/>
    <x v="158"/>
    <s v="66776-88682-RG"/>
    <s v="E-L-0.2"/>
    <n v="5"/>
    <s v="Abrahan Mussen"/>
    <s v="amussen50@51.la"/>
    <s v="United States"/>
    <s v="Exc"/>
    <s v="L"/>
    <x v="3"/>
    <n v="4.4550000000000001"/>
    <n v="22.274999999999999"/>
    <x v="1"/>
    <x v="1"/>
    <x v="1"/>
  </r>
  <r>
    <s v="EOI-02511-919"/>
    <x v="158"/>
    <s v="66776-88682-RG"/>
    <s v="A-D-0.5"/>
    <n v="5"/>
    <s v="Abrahan Mussen"/>
    <s v="amussen50@51.la"/>
    <s v="United States"/>
    <s v="Ara"/>
    <s v="D"/>
    <x v="1"/>
    <n v="5.97"/>
    <n v="29.849999999999998"/>
    <x v="2"/>
    <x v="2"/>
    <x v="1"/>
  </r>
  <r>
    <s v="UCT-03935-589"/>
    <x v="78"/>
    <s v="85851-78384-DM"/>
    <s v="R-D-0.5"/>
    <n v="6"/>
    <s v="Anny Mundford"/>
    <s v="amundford52@nbcnews.com"/>
    <s v="United States"/>
    <s v="Rob"/>
    <s v="D"/>
    <x v="1"/>
    <n v="5.3699999999999992"/>
    <n v="32.22"/>
    <x v="0"/>
    <x v="2"/>
    <x v="1"/>
  </r>
  <r>
    <s v="SBI-60013-494"/>
    <x v="159"/>
    <s v="55232-81621-BX"/>
    <s v="E-M-0.2"/>
    <n v="2"/>
    <s v="Tory Walas"/>
    <s v="twalas53@google.ca"/>
    <s v="United States"/>
    <s v="Exc"/>
    <s v="M"/>
    <x v="3"/>
    <n v="4.125"/>
    <n v="8.25"/>
    <x v="1"/>
    <x v="0"/>
    <x v="1"/>
  </r>
  <r>
    <s v="QRA-73277-814"/>
    <x v="160"/>
    <s v="80310-92912-JA"/>
    <s v="A-L-0.5"/>
    <n v="4"/>
    <s v="Isa Blazewicz"/>
    <s v="iblazewicz54@thetimes.co.uk"/>
    <s v="United States"/>
    <s v="Ara"/>
    <s v="L"/>
    <x v="1"/>
    <n v="7.77"/>
    <n v="31.08"/>
    <x v="2"/>
    <x v="1"/>
    <x v="1"/>
  </r>
  <r>
    <s v="EQE-31648-909"/>
    <x v="161"/>
    <s v="19821-05175-WZ"/>
    <s v="E-D-0.5"/>
    <n v="5"/>
    <s v="Angie Rizzetti"/>
    <s v="arizzetti55@naver.com"/>
    <s v="United States"/>
    <s v="Exc"/>
    <s v="D"/>
    <x v="1"/>
    <n v="7.29"/>
    <n v="36.450000000000003"/>
    <x v="1"/>
    <x v="2"/>
    <x v="0"/>
  </r>
  <r>
    <s v="QOO-24615-950"/>
    <x v="162"/>
    <s v="01338-83217-GV"/>
    <s v="R-M-2.5"/>
    <n v="3"/>
    <s v="Mord Meriet"/>
    <s v="mmeriet56@noaa.gov"/>
    <s v="United States"/>
    <s v="Rob"/>
    <s v="M"/>
    <x v="2"/>
    <n v="22.884999999999998"/>
    <n v="68.655000000000001"/>
    <x v="0"/>
    <x v="0"/>
    <x v="1"/>
  </r>
  <r>
    <s v="WDV-73864-037"/>
    <x v="70"/>
    <s v="66044-25298-TA"/>
    <s v="L-M-0.5"/>
    <n v="5"/>
    <s v="Lawrence Pratt"/>
    <s v="lpratt57@netvibes.com"/>
    <s v="United States"/>
    <s v="Lib"/>
    <s v="M"/>
    <x v="1"/>
    <n v="8.73"/>
    <n v="43.650000000000006"/>
    <x v="3"/>
    <x v="0"/>
    <x v="0"/>
  </r>
  <r>
    <s v="PKR-88575-066"/>
    <x v="163"/>
    <s v="28728-47861-TZ"/>
    <s v="E-L-0.2"/>
    <n v="1"/>
    <s v="Astrix Kitchingham"/>
    <s v="akitchingham58@com.com"/>
    <s v="United States"/>
    <s v="Exc"/>
    <s v="L"/>
    <x v="3"/>
    <n v="4.4550000000000001"/>
    <n v="4.4550000000000001"/>
    <x v="1"/>
    <x v="1"/>
    <x v="0"/>
  </r>
  <r>
    <s v="BWR-85735-955"/>
    <x v="153"/>
    <s v="32638-38620-AX"/>
    <s v="L-M-1"/>
    <n v="3"/>
    <s v="Burnard Bartholin"/>
    <s v="bbartholin59@xinhuanet.com"/>
    <s v="United States"/>
    <s v="Lib"/>
    <s v="M"/>
    <x v="0"/>
    <n v="14.55"/>
    <n v="43.650000000000006"/>
    <x v="3"/>
    <x v="0"/>
    <x v="0"/>
  </r>
  <r>
    <s v="YFX-64795-136"/>
    <x v="164"/>
    <s v="83163-65741-IH"/>
    <s v="L-M-2.5"/>
    <n v="1"/>
    <s v="Madelene Prinn"/>
    <s v="mprinn5a@usa.gov"/>
    <s v="United States"/>
    <s v="Lib"/>
    <s v="M"/>
    <x v="2"/>
    <n v="33.464999999999996"/>
    <n v="33.464999999999996"/>
    <x v="3"/>
    <x v="0"/>
    <x v="0"/>
  </r>
  <r>
    <s v="DDO-71442-967"/>
    <x v="165"/>
    <s v="89422-58281-FD"/>
    <s v="L-D-0.2"/>
    <n v="5"/>
    <s v="Alisun Baudino"/>
    <s v="abaudino5b@netvibes.com"/>
    <s v="United States"/>
    <s v="Lib"/>
    <s v="D"/>
    <x v="3"/>
    <n v="3.8849999999999998"/>
    <n v="19.424999999999997"/>
    <x v="3"/>
    <x v="2"/>
    <x v="0"/>
  </r>
  <r>
    <s v="ILQ-11027-588"/>
    <x v="166"/>
    <s v="76293-30918-DQ"/>
    <s v="E-D-1"/>
    <n v="6"/>
    <s v="Philipa Petrushanko"/>
    <s v="ppetrushanko5c@blinklist.com"/>
    <s v="Ireland"/>
    <s v="Exc"/>
    <s v="D"/>
    <x v="0"/>
    <n v="12.15"/>
    <n v="72.900000000000006"/>
    <x v="1"/>
    <x v="2"/>
    <x v="0"/>
  </r>
  <r>
    <s v="KRZ-13868-122"/>
    <x v="167"/>
    <s v="86779-84838-EJ"/>
    <s v="E-L-1"/>
    <n v="3"/>
    <s v="Kimberli Mustchin"/>
    <n v="0"/>
    <s v="United States"/>
    <s v="Exc"/>
    <s v="L"/>
    <x v="0"/>
    <n v="14.85"/>
    <n v="44.55"/>
    <x v="1"/>
    <x v="1"/>
    <x v="1"/>
  </r>
  <r>
    <s v="VRM-93594-914"/>
    <x v="168"/>
    <s v="66806-41795-MX"/>
    <s v="E-D-0.5"/>
    <n v="5"/>
    <s v="Emlynne Laird"/>
    <s v="elaird5e@bing.com"/>
    <s v="United States"/>
    <s v="Exc"/>
    <s v="D"/>
    <x v="1"/>
    <n v="7.29"/>
    <n v="36.450000000000003"/>
    <x v="1"/>
    <x v="2"/>
    <x v="1"/>
  </r>
  <r>
    <s v="HXL-22497-359"/>
    <x v="169"/>
    <s v="64875-71224-UI"/>
    <s v="A-L-1"/>
    <n v="3"/>
    <s v="Marlena Howsden"/>
    <s v="mhowsden5f@infoseek.co.jp"/>
    <s v="United States"/>
    <s v="Ara"/>
    <s v="L"/>
    <x v="0"/>
    <n v="12.95"/>
    <n v="38.849999999999994"/>
    <x v="2"/>
    <x v="1"/>
    <x v="1"/>
  </r>
  <r>
    <s v="NOP-21394-646"/>
    <x v="170"/>
    <s v="16982-35708-BZ"/>
    <s v="E-L-0.5"/>
    <n v="6"/>
    <s v="Nealson Cuttler"/>
    <s v="ncuttler5g@parallels.com"/>
    <s v="United States"/>
    <s v="Exc"/>
    <s v="L"/>
    <x v="1"/>
    <n v="8.91"/>
    <n v="53.46"/>
    <x v="1"/>
    <x v="1"/>
    <x v="1"/>
  </r>
  <r>
    <s v="NOP-21394-646"/>
    <x v="170"/>
    <s v="16982-35708-BZ"/>
    <s v="L-D-2.5"/>
    <n v="2"/>
    <s v="Nealson Cuttler"/>
    <s v="ncuttler5g@parallels.com"/>
    <s v="United States"/>
    <s v="Lib"/>
    <s v="D"/>
    <x v="2"/>
    <n v="29.784999999999997"/>
    <n v="59.569999999999993"/>
    <x v="3"/>
    <x v="2"/>
    <x v="1"/>
  </r>
  <r>
    <s v="NOP-21394-646"/>
    <x v="170"/>
    <s v="16982-35708-BZ"/>
    <s v="L-D-2.5"/>
    <n v="3"/>
    <s v="Nealson Cuttler"/>
    <s v="ncuttler5g@parallels.com"/>
    <s v="United States"/>
    <s v="Lib"/>
    <s v="D"/>
    <x v="2"/>
    <n v="29.784999999999997"/>
    <n v="89.35499999999999"/>
    <x v="3"/>
    <x v="2"/>
    <x v="1"/>
  </r>
  <r>
    <s v="NOP-21394-646"/>
    <x v="170"/>
    <s v="16982-35708-BZ"/>
    <s v="L-L-0.5"/>
    <n v="4"/>
    <s v="Nealson Cuttler"/>
    <s v="ncuttler5g@parallels.com"/>
    <s v="United States"/>
    <s v="Lib"/>
    <s v="L"/>
    <x v="1"/>
    <n v="9.51"/>
    <n v="38.04"/>
    <x v="3"/>
    <x v="1"/>
    <x v="1"/>
  </r>
  <r>
    <s v="NOP-21394-646"/>
    <x v="170"/>
    <s v="16982-35708-BZ"/>
    <s v="E-M-1"/>
    <n v="3"/>
    <s v="Nealson Cuttler"/>
    <s v="ncuttler5g@parallels.com"/>
    <s v="United States"/>
    <s v="Exc"/>
    <s v="M"/>
    <x v="0"/>
    <n v="13.75"/>
    <n v="41.25"/>
    <x v="1"/>
    <x v="0"/>
    <x v="1"/>
  </r>
  <r>
    <s v="FTV-77095-168"/>
    <x v="171"/>
    <s v="66708-26678-QK"/>
    <s v="L-L-0.5"/>
    <n v="6"/>
    <s v="Adriana Lazarus"/>
    <n v="0"/>
    <s v="United States"/>
    <s v="Lib"/>
    <s v="L"/>
    <x v="1"/>
    <n v="9.51"/>
    <n v="57.06"/>
    <x v="3"/>
    <x v="1"/>
    <x v="1"/>
  </r>
  <r>
    <s v="BOR-02906-411"/>
    <x v="172"/>
    <s v="08743-09057-OO"/>
    <s v="L-D-2.5"/>
    <n v="6"/>
    <s v="Tallie felip"/>
    <s v="tfelip5m@typepad.com"/>
    <s v="United States"/>
    <s v="Lib"/>
    <s v="D"/>
    <x v="2"/>
    <n v="29.784999999999997"/>
    <n v="178.70999999999998"/>
    <x v="3"/>
    <x v="2"/>
    <x v="0"/>
  </r>
  <r>
    <s v="WMP-68847-770"/>
    <x v="173"/>
    <s v="37490-01572-JW"/>
    <s v="L-L-0.2"/>
    <n v="1"/>
    <s v="Vanna Le - Count"/>
    <s v="vle5n@disqus.com"/>
    <s v="United States"/>
    <s v="Lib"/>
    <s v="L"/>
    <x v="3"/>
    <n v="4.7549999999999999"/>
    <n v="4.7549999999999999"/>
    <x v="3"/>
    <x v="1"/>
    <x v="1"/>
  </r>
  <r>
    <s v="TMO-22785-872"/>
    <x v="174"/>
    <s v="01811-60350-CU"/>
    <s v="E-M-1"/>
    <n v="6"/>
    <s v="Sarette Ducarel"/>
    <n v="0"/>
    <s v="United States"/>
    <s v="Exc"/>
    <s v="M"/>
    <x v="0"/>
    <n v="13.75"/>
    <n v="82.5"/>
    <x v="1"/>
    <x v="0"/>
    <x v="1"/>
  </r>
  <r>
    <s v="TJG-73587-353"/>
    <x v="175"/>
    <s v="24766-58139-GT"/>
    <s v="R-D-0.2"/>
    <n v="3"/>
    <s v="Kendra Glison"/>
    <n v="0"/>
    <s v="United States"/>
    <s v="Rob"/>
    <s v="D"/>
    <x v="3"/>
    <n v="2.6849999999999996"/>
    <n v="8.0549999999999997"/>
    <x v="0"/>
    <x v="2"/>
    <x v="0"/>
  </r>
  <r>
    <s v="OOU-61343-455"/>
    <x v="176"/>
    <s v="90123-70970-NY"/>
    <s v="A-M-1"/>
    <n v="2"/>
    <s v="Nertie Poolman"/>
    <s v="npoolman5q@howstuffworks.com"/>
    <s v="United States"/>
    <s v="Ara"/>
    <s v="M"/>
    <x v="0"/>
    <n v="11.25"/>
    <n v="22.5"/>
    <x v="2"/>
    <x v="0"/>
    <x v="1"/>
  </r>
  <r>
    <s v="RMA-08327-369"/>
    <x v="142"/>
    <s v="93809-05424-MG"/>
    <s v="A-M-0.5"/>
    <n v="6"/>
    <s v="Orbadiah Duny"/>
    <s v="oduny5r@constantcontact.com"/>
    <s v="United States"/>
    <s v="Ara"/>
    <s v="M"/>
    <x v="1"/>
    <n v="6.75"/>
    <n v="40.5"/>
    <x v="2"/>
    <x v="0"/>
    <x v="0"/>
  </r>
  <r>
    <s v="SFB-97929-779"/>
    <x v="177"/>
    <s v="85425-33494-HQ"/>
    <s v="E-D-0.5"/>
    <n v="4"/>
    <s v="Constance Halfhide"/>
    <s v="chalfhide5s@google.ru"/>
    <s v="Ireland"/>
    <s v="Exc"/>
    <s v="D"/>
    <x v="1"/>
    <n v="7.29"/>
    <n v="29.16"/>
    <x v="1"/>
    <x v="2"/>
    <x v="0"/>
  </r>
  <r>
    <s v="AUP-10128-606"/>
    <x v="178"/>
    <s v="54387-64897-XC"/>
    <s v="A-M-0.5"/>
    <n v="1"/>
    <s v="Fransisco Malecky"/>
    <s v="fmalecky5t@list-manage.com"/>
    <s v="United Kingdom"/>
    <s v="Ara"/>
    <s v="M"/>
    <x v="1"/>
    <n v="6.75"/>
    <n v="6.75"/>
    <x v="2"/>
    <x v="0"/>
    <x v="1"/>
  </r>
  <r>
    <s v="YTW-40242-005"/>
    <x v="179"/>
    <s v="01035-70465-UO"/>
    <s v="L-D-1"/>
    <n v="4"/>
    <s v="Anselma Attwater"/>
    <s v="aattwater5u@wikia.com"/>
    <s v="United States"/>
    <s v="Lib"/>
    <s v="D"/>
    <x v="0"/>
    <n v="12.95"/>
    <n v="51.8"/>
    <x v="3"/>
    <x v="2"/>
    <x v="0"/>
  </r>
  <r>
    <s v="PRP-53390-819"/>
    <x v="180"/>
    <s v="84260-39432-ML"/>
    <s v="E-L-0.5"/>
    <n v="6"/>
    <s v="Minette Whellans"/>
    <s v="mwhellans5v@mapquest.com"/>
    <s v="United States"/>
    <s v="Exc"/>
    <s v="L"/>
    <x v="1"/>
    <n v="8.91"/>
    <n v="53.46"/>
    <x v="1"/>
    <x v="1"/>
    <x v="1"/>
  </r>
  <r>
    <s v="GSJ-01065-125"/>
    <x v="181"/>
    <s v="69779-40609-RS"/>
    <s v="E-D-0.2"/>
    <n v="4"/>
    <s v="Dael Camilletti"/>
    <s v="dcamilletti5w@businesswire.com"/>
    <s v="United States"/>
    <s v="Exc"/>
    <s v="D"/>
    <x v="3"/>
    <n v="3.645"/>
    <n v="14.58"/>
    <x v="1"/>
    <x v="2"/>
    <x v="0"/>
  </r>
  <r>
    <s v="YQU-65147-580"/>
    <x v="182"/>
    <s v="80247-70000-HT"/>
    <s v="R-D-2.5"/>
    <n v="1"/>
    <s v="Emiline Galgey"/>
    <s v="egalgey5x@wufoo.com"/>
    <s v="United States"/>
    <s v="Rob"/>
    <s v="D"/>
    <x v="2"/>
    <n v="20.584999999999997"/>
    <n v="20.584999999999997"/>
    <x v="0"/>
    <x v="2"/>
    <x v="1"/>
  </r>
  <r>
    <s v="QPM-95832-683"/>
    <x v="183"/>
    <s v="35058-04550-VC"/>
    <s v="L-L-1"/>
    <n v="2"/>
    <s v="Murdock Hame"/>
    <s v="mhame5y@newsvine.com"/>
    <s v="Ireland"/>
    <s v="Lib"/>
    <s v="L"/>
    <x v="0"/>
    <n v="15.85"/>
    <n v="31.7"/>
    <x v="3"/>
    <x v="1"/>
    <x v="1"/>
  </r>
  <r>
    <s v="BNQ-88920-567"/>
    <x v="184"/>
    <s v="27226-53717-SY"/>
    <s v="L-D-0.2"/>
    <n v="6"/>
    <s v="Ilka Gurnee"/>
    <s v="igurnee5z@usnews.com"/>
    <s v="United States"/>
    <s v="Lib"/>
    <s v="D"/>
    <x v="3"/>
    <n v="3.8849999999999998"/>
    <n v="23.31"/>
    <x v="3"/>
    <x v="2"/>
    <x v="1"/>
  </r>
  <r>
    <s v="PUX-47906-110"/>
    <x v="185"/>
    <s v="02002-98725-CH"/>
    <s v="L-M-1"/>
    <n v="4"/>
    <s v="Alfy Snowding"/>
    <s v="asnowding60@comsenz.com"/>
    <s v="United States"/>
    <s v="Lib"/>
    <s v="M"/>
    <x v="0"/>
    <n v="14.55"/>
    <n v="58.2"/>
    <x v="3"/>
    <x v="0"/>
    <x v="0"/>
  </r>
  <r>
    <s v="COL-72079-610"/>
    <x v="186"/>
    <s v="38487-01549-MV"/>
    <s v="E-L-0.5"/>
    <n v="4"/>
    <s v="Godfry Poinsett"/>
    <s v="gpoinsett61@berkeley.edu"/>
    <s v="United States"/>
    <s v="Exc"/>
    <s v="L"/>
    <x v="1"/>
    <n v="8.91"/>
    <n v="35.64"/>
    <x v="1"/>
    <x v="1"/>
    <x v="1"/>
  </r>
  <r>
    <s v="LBC-45686-819"/>
    <x v="187"/>
    <s v="98573-41811-EQ"/>
    <s v="A-M-1"/>
    <n v="5"/>
    <s v="Rem Furman"/>
    <s v="rfurman62@t.co"/>
    <s v="Ireland"/>
    <s v="Ara"/>
    <s v="M"/>
    <x v="0"/>
    <n v="11.25"/>
    <n v="56.25"/>
    <x v="2"/>
    <x v="0"/>
    <x v="0"/>
  </r>
  <r>
    <s v="BLQ-03709-265"/>
    <x v="148"/>
    <s v="72463-75685-MV"/>
    <s v="R-L-0.2"/>
    <n v="3"/>
    <s v="Charis Crosier"/>
    <s v="ccrosier63@xrea.com"/>
    <s v="United States"/>
    <s v="Rob"/>
    <s v="L"/>
    <x v="3"/>
    <n v="3.5849999999999995"/>
    <n v="10.754999999999999"/>
    <x v="0"/>
    <x v="1"/>
    <x v="1"/>
  </r>
  <r>
    <s v="BLQ-03709-265"/>
    <x v="148"/>
    <s v="72463-75685-MV"/>
    <s v="R-M-0.2"/>
    <n v="5"/>
    <s v="Charis Crosier"/>
    <s v="ccrosier63@xrea.com"/>
    <s v="United States"/>
    <s v="Rob"/>
    <s v="M"/>
    <x v="3"/>
    <n v="2.9849999999999999"/>
    <n v="14.924999999999999"/>
    <x v="0"/>
    <x v="0"/>
    <x v="1"/>
  </r>
  <r>
    <s v="VFZ-91673-181"/>
    <x v="188"/>
    <s v="10225-91535-AI"/>
    <s v="A-L-1"/>
    <n v="6"/>
    <s v="Lenka Rushmer"/>
    <s v="lrushmer65@europa.eu"/>
    <s v="United States"/>
    <s v="Ara"/>
    <s v="L"/>
    <x v="0"/>
    <n v="12.95"/>
    <n v="77.699999999999989"/>
    <x v="2"/>
    <x v="1"/>
    <x v="0"/>
  </r>
  <r>
    <s v="WKD-81956-870"/>
    <x v="189"/>
    <s v="48090-06534-HI"/>
    <s v="L-D-0.5"/>
    <n v="3"/>
    <s v="Waneta Edinborough"/>
    <s v="wedinborough66@github.io"/>
    <s v="United States"/>
    <s v="Lib"/>
    <s v="D"/>
    <x v="1"/>
    <n v="7.77"/>
    <n v="23.31"/>
    <x v="3"/>
    <x v="2"/>
    <x v="1"/>
  </r>
  <r>
    <s v="TNI-91067-006"/>
    <x v="190"/>
    <s v="80444-58185-FX"/>
    <s v="E-L-1"/>
    <n v="4"/>
    <s v="Bobbe Piggott"/>
    <n v="0"/>
    <s v="United States"/>
    <s v="Exc"/>
    <s v="L"/>
    <x v="0"/>
    <n v="14.85"/>
    <n v="59.4"/>
    <x v="1"/>
    <x v="1"/>
    <x v="0"/>
  </r>
  <r>
    <s v="IZA-61469-812"/>
    <x v="191"/>
    <s v="13561-92774-WP"/>
    <s v="L-D-2.5"/>
    <n v="4"/>
    <s v="Ketty Bromehead"/>
    <s v="kbromehead68@un.org"/>
    <s v="United States"/>
    <s v="Lib"/>
    <s v="D"/>
    <x v="2"/>
    <n v="29.784999999999997"/>
    <n v="119.13999999999999"/>
    <x v="3"/>
    <x v="2"/>
    <x v="0"/>
  </r>
  <r>
    <s v="PSS-22466-862"/>
    <x v="192"/>
    <s v="11550-78378-GE"/>
    <s v="R-L-0.2"/>
    <n v="4"/>
    <s v="Elsbeth Westerman"/>
    <s v="ewesterman69@si.edu"/>
    <s v="Ireland"/>
    <s v="Rob"/>
    <s v="L"/>
    <x v="3"/>
    <n v="3.5849999999999995"/>
    <n v="14.339999999999998"/>
    <x v="0"/>
    <x v="1"/>
    <x v="1"/>
  </r>
  <r>
    <s v="REH-56504-397"/>
    <x v="193"/>
    <s v="90961-35603-RP"/>
    <s v="A-M-2.5"/>
    <n v="5"/>
    <s v="Anabelle Hutchens"/>
    <s v="ahutchens6a@amazonaws.com"/>
    <s v="United States"/>
    <s v="Ara"/>
    <s v="M"/>
    <x v="2"/>
    <n v="25.874999999999996"/>
    <n v="129.37499999999997"/>
    <x v="2"/>
    <x v="0"/>
    <x v="1"/>
  </r>
  <r>
    <s v="ALA-62598-016"/>
    <x v="194"/>
    <s v="57145-03803-ZL"/>
    <s v="R-D-0.2"/>
    <n v="6"/>
    <s v="Noak Wyvill"/>
    <s v="nwyvill6b@naver.com"/>
    <s v="United Kingdom"/>
    <s v="Rob"/>
    <s v="D"/>
    <x v="3"/>
    <n v="2.6849999999999996"/>
    <n v="16.11"/>
    <x v="0"/>
    <x v="2"/>
    <x v="0"/>
  </r>
  <r>
    <s v="EYE-70374-835"/>
    <x v="195"/>
    <s v="89115-11966-VF"/>
    <s v="R-L-0.2"/>
    <n v="5"/>
    <s v="Beltran Mathon"/>
    <s v="bmathon6c@barnesandnoble.com"/>
    <s v="United States"/>
    <s v="Rob"/>
    <s v="L"/>
    <x v="3"/>
    <n v="3.5849999999999995"/>
    <n v="17.924999999999997"/>
    <x v="0"/>
    <x v="1"/>
    <x v="1"/>
  </r>
  <r>
    <s v="CCZ-19589-212"/>
    <x v="196"/>
    <s v="05754-41702-FG"/>
    <s v="L-M-0.2"/>
    <n v="2"/>
    <s v="Kristos Streight"/>
    <s v="kstreight6d@about.com"/>
    <s v="United States"/>
    <s v="Lib"/>
    <s v="M"/>
    <x v="3"/>
    <n v="4.3650000000000002"/>
    <n v="8.73"/>
    <x v="3"/>
    <x v="0"/>
    <x v="1"/>
  </r>
  <r>
    <s v="BPT-83989-157"/>
    <x v="197"/>
    <s v="84269-49816-ML"/>
    <s v="A-M-2.5"/>
    <n v="2"/>
    <s v="Portie Cutchie"/>
    <s v="pcutchie6e@globo.com"/>
    <s v="United States"/>
    <s v="Ara"/>
    <s v="M"/>
    <x v="2"/>
    <n v="25.874999999999996"/>
    <n v="51.749999999999993"/>
    <x v="2"/>
    <x v="0"/>
    <x v="1"/>
  </r>
  <r>
    <s v="YFH-87456-208"/>
    <x v="198"/>
    <s v="23600-98432-ME"/>
    <s v="L-M-0.2"/>
    <n v="2"/>
    <s v="Sinclare Edsell"/>
    <n v="0"/>
    <s v="United States"/>
    <s v="Lib"/>
    <s v="M"/>
    <x v="3"/>
    <n v="4.3650000000000002"/>
    <n v="8.73"/>
    <x v="3"/>
    <x v="0"/>
    <x v="0"/>
  </r>
  <r>
    <s v="JLN-14700-924"/>
    <x v="199"/>
    <s v="79058-02767-CP"/>
    <s v="L-L-0.2"/>
    <n v="5"/>
    <s v="Conny Gheraldi"/>
    <s v="cgheraldi6g@opera.com"/>
    <s v="United Kingdom"/>
    <s v="Lib"/>
    <s v="L"/>
    <x v="3"/>
    <n v="4.7549999999999999"/>
    <n v="23.774999999999999"/>
    <x v="3"/>
    <x v="1"/>
    <x v="1"/>
  </r>
  <r>
    <s v="JVW-22582-137"/>
    <x v="200"/>
    <s v="89208-74646-UK"/>
    <s v="E-M-0.2"/>
    <n v="5"/>
    <s v="Beryle Kenwell"/>
    <s v="bkenwell6h@over-blog.com"/>
    <s v="United States"/>
    <s v="Exc"/>
    <s v="M"/>
    <x v="3"/>
    <n v="4.125"/>
    <n v="20.625"/>
    <x v="1"/>
    <x v="0"/>
    <x v="1"/>
  </r>
  <r>
    <s v="LAA-41879-001"/>
    <x v="201"/>
    <s v="11408-81032-UR"/>
    <s v="L-L-2.5"/>
    <n v="1"/>
    <s v="Tomas Sutty"/>
    <s v="tsutty6i@google.es"/>
    <s v="United States"/>
    <s v="Lib"/>
    <s v="L"/>
    <x v="2"/>
    <n v="36.454999999999998"/>
    <n v="36.454999999999998"/>
    <x v="3"/>
    <x v="1"/>
    <x v="1"/>
  </r>
  <r>
    <s v="BRV-64870-915"/>
    <x v="202"/>
    <s v="32070-55528-UG"/>
    <s v="L-L-2.5"/>
    <n v="5"/>
    <s v="Samuele Ales0"/>
    <n v="0"/>
    <s v="Ireland"/>
    <s v="Lib"/>
    <s v="L"/>
    <x v="2"/>
    <n v="36.454999999999998"/>
    <n v="182.27499999999998"/>
    <x v="3"/>
    <x v="1"/>
    <x v="1"/>
  </r>
  <r>
    <s v="RGJ-12544-083"/>
    <x v="203"/>
    <s v="48873-84433-PN"/>
    <s v="L-D-2.5"/>
    <n v="3"/>
    <s v="Carlie Harce"/>
    <s v="charce6k@cafepress.com"/>
    <s v="Ireland"/>
    <s v="Lib"/>
    <s v="D"/>
    <x v="2"/>
    <n v="29.784999999999997"/>
    <n v="89.35499999999999"/>
    <x v="3"/>
    <x v="2"/>
    <x v="1"/>
  </r>
  <r>
    <s v="JJX-83339-346"/>
    <x v="204"/>
    <s v="32928-18158-OW"/>
    <s v="R-L-0.2"/>
    <n v="1"/>
    <s v="Craggy Bril"/>
    <n v="0"/>
    <s v="United States"/>
    <s v="Rob"/>
    <s v="L"/>
    <x v="3"/>
    <n v="3.5849999999999995"/>
    <n v="3.5849999999999995"/>
    <x v="0"/>
    <x v="1"/>
    <x v="0"/>
  </r>
  <r>
    <s v="BIU-21970-705"/>
    <x v="205"/>
    <s v="89711-56688-GG"/>
    <s v="R-M-2.5"/>
    <n v="2"/>
    <s v="Friederike Drysdale"/>
    <s v="fdrysdale6m@symantec.com"/>
    <s v="United States"/>
    <s v="Rob"/>
    <s v="M"/>
    <x v="2"/>
    <n v="22.884999999999998"/>
    <n v="45.769999999999996"/>
    <x v="0"/>
    <x v="0"/>
    <x v="0"/>
  </r>
  <r>
    <s v="ELJ-87741-745"/>
    <x v="206"/>
    <s v="48389-71976-JB"/>
    <s v="E-L-1"/>
    <n v="4"/>
    <s v="Devon Magowan"/>
    <s v="dmagowan6n@fc2.com"/>
    <s v="United States"/>
    <s v="Exc"/>
    <s v="L"/>
    <x v="0"/>
    <n v="14.85"/>
    <n v="59.4"/>
    <x v="1"/>
    <x v="1"/>
    <x v="1"/>
  </r>
  <r>
    <s v="SGI-48226-857"/>
    <x v="207"/>
    <s v="84033-80762-EQ"/>
    <s v="A-M-2.5"/>
    <n v="6"/>
    <s v="Codi Littrell"/>
    <n v="0"/>
    <s v="United States"/>
    <s v="Ara"/>
    <s v="M"/>
    <x v="2"/>
    <n v="25.874999999999996"/>
    <n v="155.24999999999997"/>
    <x v="2"/>
    <x v="0"/>
    <x v="0"/>
  </r>
  <r>
    <s v="AHV-66988-037"/>
    <x v="208"/>
    <s v="12743-00952-KO"/>
    <s v="R-M-2.5"/>
    <n v="2"/>
    <s v="Christel Speak"/>
    <n v="0"/>
    <s v="United States"/>
    <s v="Rob"/>
    <s v="M"/>
    <x v="2"/>
    <n v="22.884999999999998"/>
    <n v="45.769999999999996"/>
    <x v="0"/>
    <x v="0"/>
    <x v="1"/>
  </r>
  <r>
    <s v="ISK-42066-094"/>
    <x v="209"/>
    <s v="41505-42181-EF"/>
    <s v="E-D-1"/>
    <n v="3"/>
    <s v="Sibella Rushbrooke"/>
    <s v="srushbrooke6q@youku.com"/>
    <s v="United States"/>
    <s v="Exc"/>
    <s v="D"/>
    <x v="0"/>
    <n v="12.15"/>
    <n v="36.450000000000003"/>
    <x v="1"/>
    <x v="2"/>
    <x v="0"/>
  </r>
  <r>
    <s v="FTC-35822-530"/>
    <x v="210"/>
    <s v="14307-87663-KB"/>
    <s v="E-D-0.5"/>
    <n v="4"/>
    <s v="Tammie Drynan"/>
    <s v="tdrynan6r@deviantart.com"/>
    <s v="United States"/>
    <s v="Exc"/>
    <s v="D"/>
    <x v="1"/>
    <n v="7.29"/>
    <n v="29.16"/>
    <x v="1"/>
    <x v="2"/>
    <x v="0"/>
  </r>
  <r>
    <s v="VSS-56247-688"/>
    <x v="211"/>
    <s v="08360-19442-GB"/>
    <s v="L-M-2.5"/>
    <n v="4"/>
    <s v="Effie Yurkov"/>
    <s v="eyurkov6s@hud.gov"/>
    <s v="United States"/>
    <s v="Lib"/>
    <s v="M"/>
    <x v="2"/>
    <n v="33.464999999999996"/>
    <n v="133.85999999999999"/>
    <x v="3"/>
    <x v="0"/>
    <x v="1"/>
  </r>
  <r>
    <s v="HVW-25584-144"/>
    <x v="212"/>
    <s v="93405-51204-UW"/>
    <s v="L-L-0.2"/>
    <n v="5"/>
    <s v="Lexie Mallan"/>
    <s v="lmallan6t@state.gov"/>
    <s v="United States"/>
    <s v="Lib"/>
    <s v="L"/>
    <x v="3"/>
    <n v="4.7549999999999999"/>
    <n v="23.774999999999999"/>
    <x v="3"/>
    <x v="1"/>
    <x v="0"/>
  </r>
  <r>
    <s v="MUY-15309-209"/>
    <x v="213"/>
    <s v="97152-03355-IW"/>
    <s v="L-D-1"/>
    <n v="3"/>
    <s v="Georgena Bentjens"/>
    <s v="gbentjens6u@netlog.com"/>
    <s v="United Kingdom"/>
    <s v="Lib"/>
    <s v="D"/>
    <x v="0"/>
    <n v="12.95"/>
    <n v="38.849999999999994"/>
    <x v="3"/>
    <x v="2"/>
    <x v="1"/>
  </r>
  <r>
    <s v="VAJ-44572-469"/>
    <x v="63"/>
    <s v="79216-73157-TE"/>
    <s v="R-L-0.2"/>
    <n v="6"/>
    <s v="Delmar Beasant"/>
    <n v="0"/>
    <s v="Ireland"/>
    <s v="Rob"/>
    <s v="L"/>
    <x v="3"/>
    <n v="3.5849999999999995"/>
    <n v="21.509999999999998"/>
    <x v="0"/>
    <x v="1"/>
    <x v="0"/>
  </r>
  <r>
    <s v="YJU-84377-606"/>
    <x v="214"/>
    <s v="20259-47723-AC"/>
    <s v="A-D-1"/>
    <n v="1"/>
    <s v="Lyn Entwistle"/>
    <s v="lentwistle6w@omniture.com"/>
    <s v="United States"/>
    <s v="Ara"/>
    <s v="D"/>
    <x v="0"/>
    <n v="9.9499999999999993"/>
    <n v="9.9499999999999993"/>
    <x v="2"/>
    <x v="2"/>
    <x v="0"/>
  </r>
  <r>
    <s v="VNC-93921-469"/>
    <x v="215"/>
    <s v="04666-71569-RI"/>
    <s v="L-L-1"/>
    <n v="1"/>
    <s v="Zacharias Kiffe"/>
    <s v="zkiffe74@cyberchimps.com"/>
    <s v="United States"/>
    <s v="Lib"/>
    <s v="L"/>
    <x v="0"/>
    <n v="15.85"/>
    <n v="15.85"/>
    <x v="3"/>
    <x v="1"/>
    <x v="0"/>
  </r>
  <r>
    <s v="OGB-91614-810"/>
    <x v="216"/>
    <s v="08909-77713-CG"/>
    <s v="R-M-0.2"/>
    <n v="1"/>
    <s v="Mercedes Acott"/>
    <s v="macott6y@pagesperso-orange.fr"/>
    <s v="United States"/>
    <s v="Rob"/>
    <s v="M"/>
    <x v="3"/>
    <n v="2.9849999999999999"/>
    <n v="2.9849999999999999"/>
    <x v="0"/>
    <x v="0"/>
    <x v="0"/>
  </r>
  <r>
    <s v="BQI-61647-496"/>
    <x v="217"/>
    <s v="84340-73931-VV"/>
    <s v="E-M-1"/>
    <n v="5"/>
    <s v="Connor Heaviside"/>
    <s v="cheaviside6z@rediff.com"/>
    <s v="United States"/>
    <s v="Exc"/>
    <s v="M"/>
    <x v="0"/>
    <n v="13.75"/>
    <n v="68.75"/>
    <x v="1"/>
    <x v="0"/>
    <x v="0"/>
  </r>
  <r>
    <s v="IOM-51636-823"/>
    <x v="218"/>
    <s v="04609-95151-XH"/>
    <s v="A-D-1"/>
    <n v="3"/>
    <s v="Devy Bulbrook"/>
    <n v="0"/>
    <s v="United States"/>
    <s v="Ara"/>
    <s v="D"/>
    <x v="0"/>
    <n v="9.9499999999999993"/>
    <n v="29.849999999999998"/>
    <x v="2"/>
    <x v="2"/>
    <x v="1"/>
  </r>
  <r>
    <s v="GGD-38107-641"/>
    <x v="219"/>
    <s v="99562-88650-YF"/>
    <s v="L-M-1"/>
    <n v="4"/>
    <s v="Leia Kernan"/>
    <s v="lkernan71@wsj.com"/>
    <s v="United States"/>
    <s v="Lib"/>
    <s v="M"/>
    <x v="0"/>
    <n v="14.55"/>
    <n v="58.2"/>
    <x v="3"/>
    <x v="0"/>
    <x v="1"/>
  </r>
  <r>
    <s v="LTO-95975-728"/>
    <x v="220"/>
    <s v="46560-73885-PJ"/>
    <s v="R-L-0.5"/>
    <n v="4"/>
    <s v="Rosaline McLae"/>
    <s v="rmclae72@dailymotion.com"/>
    <s v="United Kingdom"/>
    <s v="Rob"/>
    <s v="L"/>
    <x v="1"/>
    <n v="7.169999999999999"/>
    <n v="28.679999999999996"/>
    <x v="0"/>
    <x v="1"/>
    <x v="1"/>
  </r>
  <r>
    <s v="IGM-84664-265"/>
    <x v="114"/>
    <s v="80179-44620-WN"/>
    <s v="R-L-0.5"/>
    <n v="3"/>
    <s v="Cleve Blowfelde"/>
    <s v="cblowfelde73@ustream.tv"/>
    <s v="United States"/>
    <s v="Rob"/>
    <s v="L"/>
    <x v="1"/>
    <n v="7.169999999999999"/>
    <n v="21.509999999999998"/>
    <x v="0"/>
    <x v="1"/>
    <x v="1"/>
  </r>
  <r>
    <s v="SKO-45740-621"/>
    <x v="221"/>
    <s v="04666-71569-RI"/>
    <s v="L-M-0.5"/>
    <n v="2"/>
    <s v="Zacharias Kiffe"/>
    <s v="zkiffe74@cyberchimps.com"/>
    <s v="United States"/>
    <s v="Lib"/>
    <s v="M"/>
    <x v="1"/>
    <n v="8.73"/>
    <n v="17.46"/>
    <x v="3"/>
    <x v="0"/>
    <x v="0"/>
  </r>
  <r>
    <s v="FOJ-02234-063"/>
    <x v="222"/>
    <s v="59081-87231-VP"/>
    <s v="E-D-2.5"/>
    <n v="1"/>
    <s v="Denyse O'Calleran"/>
    <s v="docalleran75@ucla.edu"/>
    <s v="United States"/>
    <s v="Exc"/>
    <s v="D"/>
    <x v="2"/>
    <n v="27.945"/>
    <n v="27.945"/>
    <x v="1"/>
    <x v="2"/>
    <x v="0"/>
  </r>
  <r>
    <s v="MSJ-11909-468"/>
    <x v="188"/>
    <s v="07878-45872-CC"/>
    <s v="E-D-2.5"/>
    <n v="5"/>
    <s v="Cobby Cromwell"/>
    <s v="ccromwell76@desdev.cn"/>
    <s v="United States"/>
    <s v="Exc"/>
    <s v="D"/>
    <x v="2"/>
    <n v="27.945"/>
    <n v="139.72499999999999"/>
    <x v="1"/>
    <x v="2"/>
    <x v="1"/>
  </r>
  <r>
    <s v="DKB-78053-329"/>
    <x v="223"/>
    <s v="12444-05174-OO"/>
    <s v="R-M-0.2"/>
    <n v="2"/>
    <s v="Irv Hay"/>
    <s v="ihay77@lulu.com"/>
    <s v="United Kingdom"/>
    <s v="Rob"/>
    <s v="M"/>
    <x v="3"/>
    <n v="2.9849999999999999"/>
    <n v="5.97"/>
    <x v="0"/>
    <x v="0"/>
    <x v="1"/>
  </r>
  <r>
    <s v="DFZ-45083-941"/>
    <x v="224"/>
    <s v="34665-62561-AU"/>
    <s v="R-L-2.5"/>
    <n v="1"/>
    <s v="Tani Taffarello"/>
    <s v="ttaffarello78@sciencedaily.com"/>
    <s v="United States"/>
    <s v="Rob"/>
    <s v="L"/>
    <x v="2"/>
    <n v="27.484999999999996"/>
    <n v="27.484999999999996"/>
    <x v="0"/>
    <x v="1"/>
    <x v="0"/>
  </r>
  <r>
    <s v="OTA-40969-710"/>
    <x v="83"/>
    <s v="77877-11993-QH"/>
    <s v="R-L-1"/>
    <n v="5"/>
    <s v="Monique Canty"/>
    <s v="mcanty79@jigsy.com"/>
    <s v="United States"/>
    <s v="Rob"/>
    <s v="L"/>
    <x v="0"/>
    <n v="11.95"/>
    <n v="59.75"/>
    <x v="0"/>
    <x v="1"/>
    <x v="0"/>
  </r>
  <r>
    <s v="GRH-45571-667"/>
    <x v="104"/>
    <s v="32291-18308-YZ"/>
    <s v="E-M-1"/>
    <n v="3"/>
    <s v="Javier Kopke"/>
    <s v="jkopke7a@auda.org.au"/>
    <s v="United States"/>
    <s v="Exc"/>
    <s v="M"/>
    <x v="0"/>
    <n v="13.75"/>
    <n v="41.25"/>
    <x v="1"/>
    <x v="0"/>
    <x v="1"/>
  </r>
  <r>
    <s v="NXV-05302-067"/>
    <x v="225"/>
    <s v="25754-33191-ZI"/>
    <s v="L-M-2.5"/>
    <n v="4"/>
    <s v="Mar McIver"/>
    <n v="0"/>
    <s v="United States"/>
    <s v="Lib"/>
    <s v="M"/>
    <x v="2"/>
    <n v="33.464999999999996"/>
    <n v="133.85999999999999"/>
    <x v="3"/>
    <x v="0"/>
    <x v="1"/>
  </r>
  <r>
    <s v="VZH-86274-142"/>
    <x v="226"/>
    <s v="53120-45532-KL"/>
    <s v="R-L-1"/>
    <n v="5"/>
    <s v="Arabella Fransewich"/>
    <n v="0"/>
    <s v="Ireland"/>
    <s v="Rob"/>
    <s v="L"/>
    <x v="0"/>
    <n v="11.95"/>
    <n v="59.75"/>
    <x v="0"/>
    <x v="1"/>
    <x v="0"/>
  </r>
  <r>
    <s v="KIX-93248-135"/>
    <x v="227"/>
    <s v="36605-83052-WB"/>
    <s v="A-D-0.5"/>
    <n v="1"/>
    <s v="Violette Hellmore"/>
    <s v="vhellmore7d@bbc.co.uk"/>
    <s v="United States"/>
    <s v="Ara"/>
    <s v="D"/>
    <x v="1"/>
    <n v="5.97"/>
    <n v="5.97"/>
    <x v="2"/>
    <x v="2"/>
    <x v="0"/>
  </r>
  <r>
    <s v="AXR-10962-010"/>
    <x v="180"/>
    <s v="53683-35977-KI"/>
    <s v="E-D-1"/>
    <n v="2"/>
    <s v="Myles Seawright"/>
    <s v="mseawright7e@nbcnews.com"/>
    <s v="United Kingdom"/>
    <s v="Exc"/>
    <s v="D"/>
    <x v="0"/>
    <n v="12.15"/>
    <n v="24.3"/>
    <x v="1"/>
    <x v="2"/>
    <x v="1"/>
  </r>
  <r>
    <s v="IHS-71573-008"/>
    <x v="228"/>
    <s v="07972-83134-NM"/>
    <s v="E-D-0.2"/>
    <n v="6"/>
    <s v="Silvana Northeast"/>
    <s v="snortheast7f@mashable.com"/>
    <s v="United States"/>
    <s v="Exc"/>
    <s v="D"/>
    <x v="3"/>
    <n v="3.645"/>
    <n v="21.87"/>
    <x v="1"/>
    <x v="2"/>
    <x v="0"/>
  </r>
  <r>
    <s v="QTR-19001-114"/>
    <x v="229"/>
    <s v="01035-70465-UO"/>
    <s v="A-D-1"/>
    <n v="2"/>
    <s v="Anselma Attwater"/>
    <s v="aattwater5u@wikia.com"/>
    <s v="United States"/>
    <s v="Ara"/>
    <s v="D"/>
    <x v="0"/>
    <n v="9.9499999999999993"/>
    <n v="19.899999999999999"/>
    <x v="2"/>
    <x v="2"/>
    <x v="0"/>
  </r>
  <r>
    <s v="WBK-62297-910"/>
    <x v="230"/>
    <s v="25514-23938-IQ"/>
    <s v="A-D-0.2"/>
    <n v="2"/>
    <s v="Monica Fearon"/>
    <s v="mfearon7h@reverbnation.com"/>
    <s v="United States"/>
    <s v="Ara"/>
    <s v="D"/>
    <x v="3"/>
    <n v="2.9849999999999999"/>
    <n v="5.97"/>
    <x v="2"/>
    <x v="2"/>
    <x v="1"/>
  </r>
  <r>
    <s v="OGY-19377-175"/>
    <x v="231"/>
    <s v="49084-44492-OJ"/>
    <s v="E-D-0.5"/>
    <n v="1"/>
    <s v="Barney Chisnell"/>
    <n v="0"/>
    <s v="Ireland"/>
    <s v="Exc"/>
    <s v="D"/>
    <x v="1"/>
    <n v="7.29"/>
    <n v="7.29"/>
    <x v="1"/>
    <x v="2"/>
    <x v="0"/>
  </r>
  <r>
    <s v="ESR-66651-814"/>
    <x v="80"/>
    <s v="76624-72205-CK"/>
    <s v="A-D-0.2"/>
    <n v="4"/>
    <s v="Jasper Sisneros"/>
    <s v="jsisneros7j@a8.net"/>
    <s v="United States"/>
    <s v="Ara"/>
    <s v="D"/>
    <x v="3"/>
    <n v="2.9849999999999999"/>
    <n v="11.94"/>
    <x v="2"/>
    <x v="2"/>
    <x v="0"/>
  </r>
  <r>
    <s v="CPX-46916-770"/>
    <x v="232"/>
    <s v="12729-50170-JE"/>
    <s v="R-L-1"/>
    <n v="6"/>
    <s v="Zachariah Carlson"/>
    <s v="zcarlson7k@bigcartel.com"/>
    <s v="Ireland"/>
    <s v="Rob"/>
    <s v="L"/>
    <x v="0"/>
    <n v="11.95"/>
    <n v="71.699999999999989"/>
    <x v="0"/>
    <x v="1"/>
    <x v="0"/>
  </r>
  <r>
    <s v="MDC-03318-645"/>
    <x v="233"/>
    <s v="43974-44760-QI"/>
    <s v="A-L-0.2"/>
    <n v="2"/>
    <s v="Warner Maddox"/>
    <s v="wmaddox7l@timesonline.co.uk"/>
    <s v="United States"/>
    <s v="Ara"/>
    <s v="L"/>
    <x v="3"/>
    <n v="3.8849999999999998"/>
    <n v="7.77"/>
    <x v="2"/>
    <x v="1"/>
    <x v="1"/>
  </r>
  <r>
    <s v="SFF-86059-407"/>
    <x v="234"/>
    <s v="30585-48726-BK"/>
    <s v="A-M-2.5"/>
    <n v="1"/>
    <s v="Donnie Hedlestone"/>
    <s v="dhedlestone7m@craigslist.org"/>
    <s v="United States"/>
    <s v="Ara"/>
    <s v="M"/>
    <x v="2"/>
    <n v="25.874999999999996"/>
    <n v="25.874999999999996"/>
    <x v="2"/>
    <x v="0"/>
    <x v="1"/>
  </r>
  <r>
    <s v="SCL-94540-788"/>
    <x v="235"/>
    <s v="16123-07017-TY"/>
    <s v="E-L-2.5"/>
    <n v="6"/>
    <s v="Teddi Crowthe"/>
    <s v="tcrowthe7n@europa.eu"/>
    <s v="United States"/>
    <s v="Exc"/>
    <s v="L"/>
    <x v="2"/>
    <n v="34.154999999999994"/>
    <n v="204.92999999999995"/>
    <x v="1"/>
    <x v="1"/>
    <x v="1"/>
  </r>
  <r>
    <s v="HVU-21634-076"/>
    <x v="236"/>
    <s v="27723-45097-MH"/>
    <s v="R-L-2.5"/>
    <n v="4"/>
    <s v="Dorelia Bury"/>
    <s v="dbury7o@tinyurl.com"/>
    <s v="Ireland"/>
    <s v="Rob"/>
    <s v="L"/>
    <x v="2"/>
    <n v="27.484999999999996"/>
    <n v="109.93999999999998"/>
    <x v="0"/>
    <x v="1"/>
    <x v="0"/>
  </r>
  <r>
    <s v="XUS-73326-418"/>
    <x v="237"/>
    <s v="37078-56703-AF"/>
    <s v="E-L-1"/>
    <n v="6"/>
    <s v="Gussy Broadbear"/>
    <s v="gbroadbear7p@omniture.com"/>
    <s v="United States"/>
    <s v="Exc"/>
    <s v="L"/>
    <x v="0"/>
    <n v="14.85"/>
    <n v="89.1"/>
    <x v="1"/>
    <x v="1"/>
    <x v="1"/>
  </r>
  <r>
    <s v="XWD-18933-006"/>
    <x v="238"/>
    <s v="79420-11075-MY"/>
    <s v="A-L-0.2"/>
    <n v="2"/>
    <s v="Emlynne Palfrey"/>
    <s v="epalfrey7q@devhub.com"/>
    <s v="United States"/>
    <s v="Ara"/>
    <s v="L"/>
    <x v="3"/>
    <n v="3.8849999999999998"/>
    <n v="7.77"/>
    <x v="2"/>
    <x v="1"/>
    <x v="0"/>
  </r>
  <r>
    <s v="HPD-65272-772"/>
    <x v="52"/>
    <s v="57504-13456-UO"/>
    <s v="L-M-2.5"/>
    <n v="1"/>
    <s v="Parsifal Metrick"/>
    <s v="pmetrick7r@rakuten.co.jp"/>
    <s v="United States"/>
    <s v="Lib"/>
    <s v="M"/>
    <x v="2"/>
    <n v="33.464999999999996"/>
    <n v="33.464999999999996"/>
    <x v="3"/>
    <x v="0"/>
    <x v="0"/>
  </r>
  <r>
    <s v="JEG-93140-224"/>
    <x v="146"/>
    <s v="53751-57560-CN"/>
    <s v="E-M-0.5"/>
    <n v="5"/>
    <s v="Christopher Grieveson"/>
    <n v="0"/>
    <s v="United States"/>
    <s v="Exc"/>
    <s v="M"/>
    <x v="1"/>
    <n v="8.25"/>
    <n v="41.25"/>
    <x v="1"/>
    <x v="0"/>
    <x v="0"/>
  </r>
  <r>
    <s v="NNH-62058-950"/>
    <x v="239"/>
    <s v="96112-42558-EA"/>
    <s v="E-L-1"/>
    <n v="4"/>
    <s v="Karlan Karby"/>
    <s v="kkarby7t@sbwire.com"/>
    <s v="United States"/>
    <s v="Exc"/>
    <s v="L"/>
    <x v="0"/>
    <n v="14.85"/>
    <n v="59.4"/>
    <x v="1"/>
    <x v="1"/>
    <x v="0"/>
  </r>
  <r>
    <s v="LTD-71429-845"/>
    <x v="240"/>
    <s v="03157-23165-UB"/>
    <s v="A-L-0.5"/>
    <n v="1"/>
    <s v="Flory Crumpe"/>
    <s v="fcrumpe7u@ftc.gov"/>
    <s v="United Kingdom"/>
    <s v="Ara"/>
    <s v="L"/>
    <x v="1"/>
    <n v="7.77"/>
    <n v="7.77"/>
    <x v="2"/>
    <x v="1"/>
    <x v="1"/>
  </r>
  <r>
    <s v="MPV-26985-215"/>
    <x v="241"/>
    <s v="51466-52850-AG"/>
    <s v="R-D-0.5"/>
    <n v="1"/>
    <s v="Amity Chatto"/>
    <s v="achatto7v@sakura.ne.jp"/>
    <s v="United Kingdom"/>
    <s v="Rob"/>
    <s v="D"/>
    <x v="1"/>
    <n v="5.3699999999999992"/>
    <n v="5.3699999999999992"/>
    <x v="0"/>
    <x v="2"/>
    <x v="0"/>
  </r>
  <r>
    <s v="IYO-10245-081"/>
    <x v="242"/>
    <s v="57145-31023-FK"/>
    <s v="E-M-2.5"/>
    <n v="3"/>
    <s v="Nanine McCarthy"/>
    <n v="0"/>
    <s v="United States"/>
    <s v="Exc"/>
    <s v="M"/>
    <x v="2"/>
    <n v="31.624999999999996"/>
    <n v="94.874999999999986"/>
    <x v="1"/>
    <x v="0"/>
    <x v="1"/>
  </r>
  <r>
    <s v="BYZ-39669-954"/>
    <x v="243"/>
    <s v="66408-53777-VE"/>
    <s v="L-L-2.5"/>
    <n v="1"/>
    <s v="Lyndsey Megany"/>
    <n v="0"/>
    <s v="United States"/>
    <s v="Lib"/>
    <s v="L"/>
    <x v="2"/>
    <n v="36.454999999999998"/>
    <n v="36.454999999999998"/>
    <x v="3"/>
    <x v="1"/>
    <x v="1"/>
  </r>
  <r>
    <s v="EFB-72860-209"/>
    <x v="244"/>
    <s v="53035-99701-WG"/>
    <s v="A-M-0.2"/>
    <n v="4"/>
    <s v="Byram Mergue"/>
    <s v="bmergue7y@umn.edu"/>
    <s v="United States"/>
    <s v="Ara"/>
    <s v="M"/>
    <x v="3"/>
    <n v="3.375"/>
    <n v="13.5"/>
    <x v="2"/>
    <x v="0"/>
    <x v="0"/>
  </r>
  <r>
    <s v="GMM-72397-378"/>
    <x v="245"/>
    <s v="45899-92796-EI"/>
    <s v="R-L-0.2"/>
    <n v="4"/>
    <s v="Kerr Patise"/>
    <s v="kpatise7z@jigsy.com"/>
    <s v="United States"/>
    <s v="Rob"/>
    <s v="L"/>
    <x v="3"/>
    <n v="3.5849999999999995"/>
    <n v="14.339999999999998"/>
    <x v="0"/>
    <x v="1"/>
    <x v="1"/>
  </r>
  <r>
    <s v="LYP-52345-883"/>
    <x v="246"/>
    <s v="17649-28133-PY"/>
    <s v="E-M-0.5"/>
    <n v="1"/>
    <s v="Mathew Goulter"/>
    <n v="0"/>
    <s v="Ireland"/>
    <s v="Exc"/>
    <s v="M"/>
    <x v="1"/>
    <n v="8.25"/>
    <n v="8.25"/>
    <x v="1"/>
    <x v="0"/>
    <x v="0"/>
  </r>
  <r>
    <s v="DFK-35846-692"/>
    <x v="247"/>
    <s v="49612-33852-CN"/>
    <s v="R-D-0.2"/>
    <n v="5"/>
    <s v="Marris Grcic"/>
    <n v="0"/>
    <s v="United States"/>
    <s v="Rob"/>
    <s v="D"/>
    <x v="3"/>
    <n v="2.6849999999999996"/>
    <n v="13.424999999999997"/>
    <x v="0"/>
    <x v="2"/>
    <x v="0"/>
  </r>
  <r>
    <s v="XAH-93337-609"/>
    <x v="248"/>
    <s v="66976-43829-YG"/>
    <s v="A-D-1"/>
    <n v="5"/>
    <s v="Domeniga Duke"/>
    <s v="dduke82@vkontakte.ru"/>
    <s v="United States"/>
    <s v="Ara"/>
    <s v="D"/>
    <x v="0"/>
    <n v="9.9499999999999993"/>
    <n v="49.75"/>
    <x v="2"/>
    <x v="2"/>
    <x v="1"/>
  </r>
  <r>
    <s v="QKA-72582-644"/>
    <x v="249"/>
    <s v="64852-04619-XZ"/>
    <s v="E-M-0.5"/>
    <n v="2"/>
    <s v="Violante Skouling"/>
    <n v="0"/>
    <s v="Ireland"/>
    <s v="Exc"/>
    <s v="M"/>
    <x v="1"/>
    <n v="8.25"/>
    <n v="16.5"/>
    <x v="1"/>
    <x v="0"/>
    <x v="1"/>
  </r>
  <r>
    <s v="ZDK-84567-102"/>
    <x v="250"/>
    <s v="58690-31815-VY"/>
    <s v="A-D-0.5"/>
    <n v="3"/>
    <s v="Isidore Hussey"/>
    <s v="ihussey84@mapy.cz"/>
    <s v="United States"/>
    <s v="Ara"/>
    <s v="D"/>
    <x v="1"/>
    <n v="5.97"/>
    <n v="17.91"/>
    <x v="2"/>
    <x v="2"/>
    <x v="1"/>
  </r>
  <r>
    <s v="WAV-38301-984"/>
    <x v="251"/>
    <s v="62863-81239-DT"/>
    <s v="A-D-0.5"/>
    <n v="5"/>
    <s v="Cassie Pinkerton"/>
    <s v="cpinkerton85@upenn.edu"/>
    <s v="United States"/>
    <s v="Ara"/>
    <s v="D"/>
    <x v="1"/>
    <n v="5.97"/>
    <n v="29.849999999999998"/>
    <x v="2"/>
    <x v="2"/>
    <x v="1"/>
  </r>
  <r>
    <s v="KZR-33023-209"/>
    <x v="177"/>
    <s v="21177-40725-CF"/>
    <s v="E-L-1"/>
    <n v="3"/>
    <s v="Micki Fero"/>
    <n v="0"/>
    <s v="United States"/>
    <s v="Exc"/>
    <s v="L"/>
    <x v="0"/>
    <n v="14.85"/>
    <n v="44.55"/>
    <x v="1"/>
    <x v="1"/>
    <x v="1"/>
  </r>
  <r>
    <s v="ULM-49433-003"/>
    <x v="252"/>
    <s v="99421-80253-UI"/>
    <s v="E-M-1"/>
    <n v="2"/>
    <s v="Cybill Graddell"/>
    <n v="0"/>
    <s v="United States"/>
    <s v="Exc"/>
    <s v="M"/>
    <x v="0"/>
    <n v="13.75"/>
    <n v="27.5"/>
    <x v="1"/>
    <x v="0"/>
    <x v="1"/>
  </r>
  <r>
    <s v="SIB-83254-136"/>
    <x v="253"/>
    <s v="45315-50206-DK"/>
    <s v="R-M-0.5"/>
    <n v="6"/>
    <s v="Dorian Vizor"/>
    <s v="dvizor88@furl.net"/>
    <s v="United States"/>
    <s v="Rob"/>
    <s v="M"/>
    <x v="1"/>
    <n v="5.97"/>
    <n v="35.82"/>
    <x v="0"/>
    <x v="0"/>
    <x v="0"/>
  </r>
  <r>
    <s v="NOK-50349-551"/>
    <x v="254"/>
    <s v="09595-95726-OV"/>
    <s v="R-D-0.5"/>
    <n v="3"/>
    <s v="Eddi Sedgebeer"/>
    <s v="esedgebeer89@oaic.gov.au"/>
    <s v="United States"/>
    <s v="Rob"/>
    <s v="D"/>
    <x v="1"/>
    <n v="5.3699999999999992"/>
    <n v="16.11"/>
    <x v="0"/>
    <x v="2"/>
    <x v="0"/>
  </r>
  <r>
    <s v="YIS-96268-844"/>
    <x v="227"/>
    <s v="60221-67036-TD"/>
    <s v="E-L-0.2"/>
    <n v="6"/>
    <s v="Ken Lestrange"/>
    <s v="klestrange8a@lulu.com"/>
    <s v="United States"/>
    <s v="Exc"/>
    <s v="L"/>
    <x v="3"/>
    <n v="4.4550000000000001"/>
    <n v="26.73"/>
    <x v="1"/>
    <x v="1"/>
    <x v="0"/>
  </r>
  <r>
    <s v="CXI-04933-855"/>
    <x v="110"/>
    <s v="62923-29397-KX"/>
    <s v="E-L-2.5"/>
    <n v="6"/>
    <s v="Lacee Tanti"/>
    <s v="ltanti8b@techcrunch.com"/>
    <s v="United States"/>
    <s v="Exc"/>
    <s v="L"/>
    <x v="2"/>
    <n v="34.154999999999994"/>
    <n v="204.92999999999995"/>
    <x v="1"/>
    <x v="1"/>
    <x v="0"/>
  </r>
  <r>
    <s v="IZU-90429-382"/>
    <x v="182"/>
    <s v="33011-52383-BA"/>
    <s v="A-L-1"/>
    <n v="3"/>
    <s v="Arel De Lasci"/>
    <s v="ade8c@1und1.de"/>
    <s v="United States"/>
    <s v="Ara"/>
    <s v="L"/>
    <x v="0"/>
    <n v="12.95"/>
    <n v="38.849999999999994"/>
    <x v="2"/>
    <x v="1"/>
    <x v="0"/>
  </r>
  <r>
    <s v="WIT-40912-783"/>
    <x v="255"/>
    <s v="86768-91598-FA"/>
    <s v="L-D-0.2"/>
    <n v="4"/>
    <s v="Trescha Jedrachowicz"/>
    <s v="tjedrachowicz8d@acquirethisname.com"/>
    <s v="United States"/>
    <s v="Lib"/>
    <s v="D"/>
    <x v="3"/>
    <n v="3.8849999999999998"/>
    <n v="15.54"/>
    <x v="3"/>
    <x v="2"/>
    <x v="0"/>
  </r>
  <r>
    <s v="PSD-57291-590"/>
    <x v="256"/>
    <s v="37191-12203-MX"/>
    <s v="A-M-0.5"/>
    <n v="1"/>
    <s v="Perkin Stonner"/>
    <s v="pstonner8e@moonfruit.com"/>
    <s v="United States"/>
    <s v="Ara"/>
    <s v="M"/>
    <x v="1"/>
    <n v="6.75"/>
    <n v="6.75"/>
    <x v="2"/>
    <x v="0"/>
    <x v="1"/>
  </r>
  <r>
    <s v="GOI-41472-677"/>
    <x v="3"/>
    <s v="16545-76328-JY"/>
    <s v="E-D-2.5"/>
    <n v="4"/>
    <s v="Darrin Tingly"/>
    <s v="dtingly8f@goo.ne.jp"/>
    <s v="United States"/>
    <s v="Exc"/>
    <s v="D"/>
    <x v="2"/>
    <n v="27.945"/>
    <n v="111.78"/>
    <x v="1"/>
    <x v="2"/>
    <x v="0"/>
  </r>
  <r>
    <s v="KTX-17944-494"/>
    <x v="257"/>
    <s v="74330-29286-RO"/>
    <s v="A-L-0.2"/>
    <n v="1"/>
    <s v="Claudetta Rushe"/>
    <s v="crushe8n@about.me"/>
    <s v="United States"/>
    <s v="Ara"/>
    <s v="L"/>
    <x v="3"/>
    <n v="3.8849999999999998"/>
    <n v="3.8849999999999998"/>
    <x v="2"/>
    <x v="1"/>
    <x v="0"/>
  </r>
  <r>
    <s v="RDM-99811-230"/>
    <x v="258"/>
    <s v="22349-47389-GY"/>
    <s v="L-M-0.2"/>
    <n v="5"/>
    <s v="Benn Checci"/>
    <s v="bchecci8h@usa.gov"/>
    <s v="United Kingdom"/>
    <s v="Lib"/>
    <s v="M"/>
    <x v="3"/>
    <n v="4.3650000000000002"/>
    <n v="21.825000000000003"/>
    <x v="3"/>
    <x v="0"/>
    <x v="1"/>
  </r>
  <r>
    <s v="JTU-55897-581"/>
    <x v="259"/>
    <s v="70290-38099-GB"/>
    <s v="R-M-0.2"/>
    <n v="5"/>
    <s v="Janifer Bagot"/>
    <s v="jbagot8i@mac.com"/>
    <s v="United States"/>
    <s v="Rob"/>
    <s v="M"/>
    <x v="3"/>
    <n v="2.9849999999999999"/>
    <n v="14.924999999999999"/>
    <x v="0"/>
    <x v="0"/>
    <x v="1"/>
  </r>
  <r>
    <s v="CRK-07584-240"/>
    <x v="260"/>
    <s v="18741-72071-PP"/>
    <s v="A-M-1"/>
    <n v="3"/>
    <s v="Ermin Beeble"/>
    <s v="ebeeble8j@soundcloud.com"/>
    <s v="United States"/>
    <s v="Ara"/>
    <s v="M"/>
    <x v="0"/>
    <n v="11.25"/>
    <n v="33.75"/>
    <x v="2"/>
    <x v="0"/>
    <x v="0"/>
  </r>
  <r>
    <s v="MKE-75518-399"/>
    <x v="261"/>
    <s v="62588-82624-II"/>
    <s v="A-M-1"/>
    <n v="3"/>
    <s v="Cos Fluin"/>
    <s v="cfluin8k@flickr.com"/>
    <s v="United Kingdom"/>
    <s v="Ara"/>
    <s v="M"/>
    <x v="0"/>
    <n v="11.25"/>
    <n v="33.75"/>
    <x v="2"/>
    <x v="0"/>
    <x v="1"/>
  </r>
  <r>
    <s v="AEL-51169-725"/>
    <x v="262"/>
    <s v="37430-29579-HD"/>
    <s v="L-M-0.2"/>
    <n v="6"/>
    <s v="Eveleen Bletsor"/>
    <s v="ebletsor8l@vinaora.com"/>
    <s v="United States"/>
    <s v="Lib"/>
    <s v="M"/>
    <x v="3"/>
    <n v="4.3650000000000002"/>
    <n v="26.19"/>
    <x v="3"/>
    <x v="0"/>
    <x v="0"/>
  </r>
  <r>
    <s v="ZGM-83108-823"/>
    <x v="263"/>
    <s v="84132-22322-QT"/>
    <s v="E-L-1"/>
    <n v="1"/>
    <s v="Paola Brydell"/>
    <s v="pbrydell8m@bloglovin.com"/>
    <s v="Ireland"/>
    <s v="Exc"/>
    <s v="L"/>
    <x v="0"/>
    <n v="14.85"/>
    <n v="14.85"/>
    <x v="1"/>
    <x v="1"/>
    <x v="1"/>
  </r>
  <r>
    <s v="JBP-78754-392"/>
    <x v="212"/>
    <s v="74330-29286-RO"/>
    <s v="E-M-2.5"/>
    <n v="6"/>
    <s v="Claudetta Rushe"/>
    <s v="crushe8n@about.me"/>
    <s v="United States"/>
    <s v="Exc"/>
    <s v="M"/>
    <x v="2"/>
    <n v="31.624999999999996"/>
    <n v="189.74999999999997"/>
    <x v="1"/>
    <x v="0"/>
    <x v="0"/>
  </r>
  <r>
    <s v="RNH-54912-747"/>
    <x v="187"/>
    <s v="37445-17791-NQ"/>
    <s v="R-M-0.5"/>
    <n v="1"/>
    <s v="Natka Leethem"/>
    <s v="nleethem8o@mac.com"/>
    <s v="United States"/>
    <s v="Rob"/>
    <s v="M"/>
    <x v="1"/>
    <n v="5.97"/>
    <n v="5.97"/>
    <x v="0"/>
    <x v="0"/>
    <x v="0"/>
  </r>
  <r>
    <s v="JDS-33440-914"/>
    <x v="248"/>
    <s v="58511-10548-ZU"/>
    <s v="R-M-1"/>
    <n v="3"/>
    <s v="Ailene Nesfield"/>
    <s v="anesfield8p@people.com.cn"/>
    <s v="United Kingdom"/>
    <s v="Rob"/>
    <s v="M"/>
    <x v="0"/>
    <n v="9.9499999999999993"/>
    <n v="29.849999999999998"/>
    <x v="0"/>
    <x v="0"/>
    <x v="0"/>
  </r>
  <r>
    <s v="SYX-48878-182"/>
    <x v="264"/>
    <s v="47725-34771-FJ"/>
    <s v="R-D-1"/>
    <n v="5"/>
    <s v="Stacy Pickworth"/>
    <n v="0"/>
    <s v="United States"/>
    <s v="Rob"/>
    <s v="D"/>
    <x v="0"/>
    <n v="8.9499999999999993"/>
    <n v="44.75"/>
    <x v="0"/>
    <x v="2"/>
    <x v="1"/>
  </r>
  <r>
    <s v="ZGD-94763-868"/>
    <x v="265"/>
    <s v="53086-67334-KT"/>
    <s v="E-L-2.5"/>
    <n v="1"/>
    <s v="Melli Brockway"/>
    <s v="mbrockway8r@ibm.com"/>
    <s v="United States"/>
    <s v="Exc"/>
    <s v="L"/>
    <x v="2"/>
    <n v="34.154999999999994"/>
    <n v="34.154999999999994"/>
    <x v="1"/>
    <x v="1"/>
    <x v="0"/>
  </r>
  <r>
    <s v="CZY-70361-485"/>
    <x v="266"/>
    <s v="83308-82257-UN"/>
    <s v="E-L-2.5"/>
    <n v="6"/>
    <s v="Nanny Lush"/>
    <s v="nlush8s@dedecms.com"/>
    <s v="Ireland"/>
    <s v="Exc"/>
    <s v="L"/>
    <x v="2"/>
    <n v="34.154999999999994"/>
    <n v="204.92999999999995"/>
    <x v="1"/>
    <x v="1"/>
    <x v="1"/>
  </r>
  <r>
    <s v="RJR-12175-899"/>
    <x v="267"/>
    <s v="37274-08534-FM"/>
    <s v="E-D-0.5"/>
    <n v="3"/>
    <s v="Selma McMillian"/>
    <s v="smcmillian8t@csmonitor.com"/>
    <s v="United States"/>
    <s v="Exc"/>
    <s v="D"/>
    <x v="1"/>
    <n v="7.29"/>
    <n v="21.87"/>
    <x v="1"/>
    <x v="2"/>
    <x v="1"/>
  </r>
  <r>
    <s v="ELB-07929-407"/>
    <x v="204"/>
    <s v="54004-04664-AA"/>
    <s v="A-M-2.5"/>
    <n v="2"/>
    <s v="Tess Bennison"/>
    <s v="tbennison8u@google.cn"/>
    <s v="United States"/>
    <s v="Ara"/>
    <s v="M"/>
    <x v="2"/>
    <n v="25.874999999999996"/>
    <n v="51.749999999999993"/>
    <x v="2"/>
    <x v="0"/>
    <x v="0"/>
  </r>
  <r>
    <s v="UJQ-54441-340"/>
    <x v="268"/>
    <s v="26822-19510-SD"/>
    <s v="E-M-0.2"/>
    <n v="2"/>
    <s v="Gabie Tweed"/>
    <s v="gtweed8v@yolasite.com"/>
    <s v="United States"/>
    <s v="Exc"/>
    <s v="M"/>
    <x v="3"/>
    <n v="4.125"/>
    <n v="8.25"/>
    <x v="1"/>
    <x v="0"/>
    <x v="0"/>
  </r>
  <r>
    <s v="UJQ-54441-340"/>
    <x v="268"/>
    <s v="26822-19510-SD"/>
    <s v="A-L-0.2"/>
    <n v="5"/>
    <s v="Gabie Tweed"/>
    <s v="gtweed8v@yolasite.com"/>
    <s v="United States"/>
    <s v="Ara"/>
    <s v="L"/>
    <x v="3"/>
    <n v="3.8849999999999998"/>
    <n v="19.424999999999997"/>
    <x v="2"/>
    <x v="1"/>
    <x v="0"/>
  </r>
  <r>
    <s v="OWY-43108-475"/>
    <x v="269"/>
    <s v="06432-73165-ML"/>
    <s v="A-M-0.2"/>
    <n v="6"/>
    <s v="Gaile Goggin"/>
    <s v="ggoggin8x@wix.com"/>
    <s v="Ireland"/>
    <s v="Ara"/>
    <s v="M"/>
    <x v="3"/>
    <n v="3.375"/>
    <n v="20.25"/>
    <x v="2"/>
    <x v="0"/>
    <x v="0"/>
  </r>
  <r>
    <s v="GNO-91911-159"/>
    <x v="145"/>
    <s v="96503-31833-CW"/>
    <s v="L-D-0.5"/>
    <n v="3"/>
    <s v="Skylar Jeyness"/>
    <s v="sjeyness8y@biglobe.ne.jp"/>
    <s v="Ireland"/>
    <s v="Lib"/>
    <s v="D"/>
    <x v="1"/>
    <n v="7.77"/>
    <n v="23.31"/>
    <x v="3"/>
    <x v="2"/>
    <x v="1"/>
  </r>
  <r>
    <s v="CNY-06284-066"/>
    <x v="270"/>
    <s v="63985-64148-MG"/>
    <s v="E-D-0.2"/>
    <n v="5"/>
    <s v="Donica Bonhome"/>
    <s v="dbonhome8z@shinystat.com"/>
    <s v="United States"/>
    <s v="Exc"/>
    <s v="D"/>
    <x v="3"/>
    <n v="3.645"/>
    <n v="18.225000000000001"/>
    <x v="1"/>
    <x v="2"/>
    <x v="0"/>
  </r>
  <r>
    <s v="OQS-46321-904"/>
    <x v="271"/>
    <s v="19597-91185-CM"/>
    <s v="E-M-1"/>
    <n v="1"/>
    <s v="Diena Peetermann"/>
    <n v="0"/>
    <s v="United States"/>
    <s v="Exc"/>
    <s v="M"/>
    <x v="0"/>
    <n v="13.75"/>
    <n v="13.75"/>
    <x v="1"/>
    <x v="0"/>
    <x v="1"/>
  </r>
  <r>
    <s v="IBW-87442-480"/>
    <x v="272"/>
    <s v="79814-23626-JR"/>
    <s v="A-L-2.5"/>
    <n v="1"/>
    <s v="Trina Le Sarr"/>
    <s v="tle91@epa.gov"/>
    <s v="United States"/>
    <s v="Ara"/>
    <s v="L"/>
    <x v="2"/>
    <n v="29.784999999999997"/>
    <n v="29.784999999999997"/>
    <x v="2"/>
    <x v="1"/>
    <x v="0"/>
  </r>
  <r>
    <s v="DGZ-82537-477"/>
    <x v="252"/>
    <s v="43439-94003-DW"/>
    <s v="R-D-1"/>
    <n v="5"/>
    <s v="Flynn Antony"/>
    <n v="0"/>
    <s v="United States"/>
    <s v="Rob"/>
    <s v="D"/>
    <x v="0"/>
    <n v="8.9499999999999993"/>
    <n v="44.75"/>
    <x v="0"/>
    <x v="2"/>
    <x v="1"/>
  </r>
  <r>
    <s v="LPS-39089-432"/>
    <x v="273"/>
    <s v="97655-45555-LI"/>
    <s v="R-D-1"/>
    <n v="5"/>
    <s v="Baudoin Alldridge"/>
    <s v="balldridge93@yandex.ru"/>
    <s v="United States"/>
    <s v="Rob"/>
    <s v="D"/>
    <x v="0"/>
    <n v="8.9499999999999993"/>
    <n v="44.75"/>
    <x v="0"/>
    <x v="2"/>
    <x v="0"/>
  </r>
  <r>
    <s v="MQU-86100-929"/>
    <x v="274"/>
    <s v="64418-01720-VW"/>
    <s v="L-L-0.5"/>
    <n v="4"/>
    <s v="Homer Dulany"/>
    <n v="0"/>
    <s v="United States"/>
    <s v="Lib"/>
    <s v="L"/>
    <x v="1"/>
    <n v="9.51"/>
    <n v="38.04"/>
    <x v="3"/>
    <x v="1"/>
    <x v="0"/>
  </r>
  <r>
    <s v="XUR-14132-391"/>
    <x v="275"/>
    <s v="96836-09258-RI"/>
    <s v="R-D-0.5"/>
    <n v="4"/>
    <s v="Lisa Goodger"/>
    <s v="lgoodger95@guardian.co.uk"/>
    <s v="United States"/>
    <s v="Rob"/>
    <s v="D"/>
    <x v="1"/>
    <n v="5.3699999999999992"/>
    <n v="21.479999999999997"/>
    <x v="0"/>
    <x v="2"/>
    <x v="0"/>
  </r>
  <r>
    <s v="OVI-27064-381"/>
    <x v="276"/>
    <s v="37274-08534-FM"/>
    <s v="R-D-0.5"/>
    <n v="3"/>
    <s v="Selma McMillian"/>
    <s v="smcmillian8t@csmonitor.com"/>
    <s v="United States"/>
    <s v="Rob"/>
    <s v="D"/>
    <x v="1"/>
    <n v="5.3699999999999992"/>
    <n v="16.11"/>
    <x v="0"/>
    <x v="2"/>
    <x v="1"/>
  </r>
  <r>
    <s v="SHP-17012-870"/>
    <x v="277"/>
    <s v="69529-07533-CV"/>
    <s v="R-M-2.5"/>
    <n v="1"/>
    <s v="Corine Drewett"/>
    <s v="cdrewett97@wikipedia.org"/>
    <s v="United States"/>
    <s v="Rob"/>
    <s v="M"/>
    <x v="2"/>
    <n v="22.884999999999998"/>
    <n v="22.884999999999998"/>
    <x v="0"/>
    <x v="0"/>
    <x v="0"/>
  </r>
  <r>
    <s v="FDY-03414-903"/>
    <x v="278"/>
    <s v="94840-49457-UD"/>
    <s v="A-D-0.5"/>
    <n v="3"/>
    <s v="Quinn Parsons"/>
    <s v="qparsons98@blogtalkradio.com"/>
    <s v="United States"/>
    <s v="Ara"/>
    <s v="D"/>
    <x v="1"/>
    <n v="5.97"/>
    <n v="17.91"/>
    <x v="2"/>
    <x v="2"/>
    <x v="0"/>
  </r>
  <r>
    <s v="WXT-85291-143"/>
    <x v="279"/>
    <s v="81414-81273-DK"/>
    <s v="R-M-0.5"/>
    <n v="4"/>
    <s v="Vivyan Ceely"/>
    <s v="vceely99@auda.org.au"/>
    <s v="United States"/>
    <s v="Rob"/>
    <s v="M"/>
    <x v="1"/>
    <n v="5.97"/>
    <n v="23.88"/>
    <x v="0"/>
    <x v="0"/>
    <x v="0"/>
  </r>
  <r>
    <s v="QNP-18893-547"/>
    <x v="280"/>
    <s v="76930-61689-CH"/>
    <s v="R-L-1"/>
    <n v="5"/>
    <s v="Elonore Goodings"/>
    <n v="0"/>
    <s v="United States"/>
    <s v="Rob"/>
    <s v="L"/>
    <x v="0"/>
    <n v="11.95"/>
    <n v="59.75"/>
    <x v="0"/>
    <x v="1"/>
    <x v="1"/>
  </r>
  <r>
    <s v="DOH-92927-530"/>
    <x v="281"/>
    <s v="12839-56537-TQ"/>
    <s v="L-L-0.2"/>
    <n v="6"/>
    <s v="Clement Vasiliev"/>
    <s v="cvasiliev9b@discuz.net"/>
    <s v="United States"/>
    <s v="Lib"/>
    <s v="L"/>
    <x v="3"/>
    <n v="4.7549999999999999"/>
    <n v="28.53"/>
    <x v="3"/>
    <x v="1"/>
    <x v="0"/>
  </r>
  <r>
    <s v="HGJ-82768-173"/>
    <x v="282"/>
    <s v="62741-01322-HU"/>
    <s v="A-M-1"/>
    <n v="4"/>
    <s v="Terencio O'Moylan"/>
    <s v="tomoylan9c@liveinternet.ru"/>
    <s v="United Kingdom"/>
    <s v="Ara"/>
    <s v="M"/>
    <x v="0"/>
    <n v="11.25"/>
    <n v="45"/>
    <x v="2"/>
    <x v="0"/>
    <x v="1"/>
  </r>
  <r>
    <s v="YPT-95383-088"/>
    <x v="283"/>
    <s v="43439-94003-DW"/>
    <s v="E-D-2.5"/>
    <n v="2"/>
    <s v="Flynn Antony"/>
    <n v="0"/>
    <s v="United States"/>
    <s v="Exc"/>
    <s v="D"/>
    <x v="2"/>
    <n v="27.945"/>
    <n v="55.89"/>
    <x v="1"/>
    <x v="2"/>
    <x v="1"/>
  </r>
  <r>
    <s v="OYH-16533-767"/>
    <x v="284"/>
    <s v="44932-34838-RM"/>
    <s v="E-L-1"/>
    <n v="4"/>
    <s v="Wyatan Fetherston"/>
    <s v="wfetherston9e@constantcontact.com"/>
    <s v="United States"/>
    <s v="Exc"/>
    <s v="L"/>
    <x v="0"/>
    <n v="14.85"/>
    <n v="59.4"/>
    <x v="1"/>
    <x v="1"/>
    <x v="1"/>
  </r>
  <r>
    <s v="DWW-28642-549"/>
    <x v="285"/>
    <s v="91181-19412-RQ"/>
    <s v="E-D-0.2"/>
    <n v="2"/>
    <s v="Emmaline Rasmus"/>
    <s v="erasmus9f@techcrunch.com"/>
    <s v="United States"/>
    <s v="Exc"/>
    <s v="D"/>
    <x v="3"/>
    <n v="3.645"/>
    <n v="7.29"/>
    <x v="1"/>
    <x v="2"/>
    <x v="0"/>
  </r>
  <r>
    <s v="CGO-79583-871"/>
    <x v="286"/>
    <s v="37182-54930-XC"/>
    <s v="E-D-0.5"/>
    <n v="1"/>
    <s v="Wesley Giorgioni"/>
    <s v="wgiorgioni9g@wikipedia.org"/>
    <s v="United States"/>
    <s v="Exc"/>
    <s v="D"/>
    <x v="1"/>
    <n v="7.29"/>
    <n v="7.29"/>
    <x v="1"/>
    <x v="2"/>
    <x v="0"/>
  </r>
  <r>
    <s v="TFY-52090-386"/>
    <x v="287"/>
    <s v="08613-17327-XT"/>
    <s v="E-L-0.5"/>
    <n v="2"/>
    <s v="Lucienne Scargle"/>
    <s v="lscargle9h@myspace.com"/>
    <s v="United States"/>
    <s v="Exc"/>
    <s v="L"/>
    <x v="1"/>
    <n v="8.91"/>
    <n v="17.82"/>
    <x v="1"/>
    <x v="1"/>
    <x v="1"/>
  </r>
  <r>
    <s v="TFY-52090-386"/>
    <x v="287"/>
    <s v="08613-17327-XT"/>
    <s v="L-D-0.5"/>
    <n v="5"/>
    <s v="Lucienne Scargle"/>
    <s v="lscargle9h@myspace.com"/>
    <s v="United States"/>
    <s v="Lib"/>
    <s v="D"/>
    <x v="1"/>
    <n v="7.77"/>
    <n v="38.849999999999994"/>
    <x v="3"/>
    <x v="2"/>
    <x v="1"/>
  </r>
  <r>
    <s v="NYY-73968-094"/>
    <x v="288"/>
    <s v="70451-38048-AH"/>
    <s v="R-D-0.5"/>
    <n v="6"/>
    <s v="Noam Climance"/>
    <s v="nclimance9j@europa.eu"/>
    <s v="United States"/>
    <s v="Rob"/>
    <s v="D"/>
    <x v="1"/>
    <n v="5.3699999999999992"/>
    <n v="32.22"/>
    <x v="0"/>
    <x v="2"/>
    <x v="1"/>
  </r>
  <r>
    <s v="QEY-71761-460"/>
    <x v="250"/>
    <s v="35442-75769-PL"/>
    <s v="R-M-1"/>
    <n v="2"/>
    <s v="Catarina Donn"/>
    <n v="0"/>
    <s v="Ireland"/>
    <s v="Rob"/>
    <s v="M"/>
    <x v="0"/>
    <n v="9.9499999999999993"/>
    <n v="19.899999999999999"/>
    <x v="0"/>
    <x v="0"/>
    <x v="0"/>
  </r>
  <r>
    <s v="GKQ-82603-910"/>
    <x v="289"/>
    <s v="83737-56117-JE"/>
    <s v="R-L-1"/>
    <n v="5"/>
    <s v="Ameline Snazle"/>
    <s v="asnazle9l@oracle.com"/>
    <s v="United States"/>
    <s v="Rob"/>
    <s v="L"/>
    <x v="0"/>
    <n v="11.95"/>
    <n v="59.75"/>
    <x v="0"/>
    <x v="1"/>
    <x v="1"/>
  </r>
  <r>
    <s v="IOB-32673-745"/>
    <x v="290"/>
    <s v="07095-81281-NJ"/>
    <s v="A-L-0.5"/>
    <n v="3"/>
    <s v="Rebeka Worg"/>
    <s v="rworg9m@arstechnica.com"/>
    <s v="United States"/>
    <s v="Ara"/>
    <s v="L"/>
    <x v="1"/>
    <n v="7.77"/>
    <n v="23.31"/>
    <x v="2"/>
    <x v="1"/>
    <x v="0"/>
  </r>
  <r>
    <s v="YAU-98893-150"/>
    <x v="291"/>
    <s v="77043-48851-HG"/>
    <s v="L-M-1"/>
    <n v="3"/>
    <s v="Lewes Danes"/>
    <s v="ldanes9n@umn.edu"/>
    <s v="United States"/>
    <s v="Lib"/>
    <s v="M"/>
    <x v="0"/>
    <n v="14.55"/>
    <n v="43.650000000000006"/>
    <x v="3"/>
    <x v="0"/>
    <x v="1"/>
  </r>
  <r>
    <s v="XNM-14163-951"/>
    <x v="292"/>
    <s v="78224-60622-KH"/>
    <s v="E-L-2.5"/>
    <n v="6"/>
    <s v="Shelli Keynd"/>
    <s v="skeynd9o@narod.ru"/>
    <s v="United States"/>
    <s v="Exc"/>
    <s v="L"/>
    <x v="2"/>
    <n v="34.154999999999994"/>
    <n v="204.92999999999995"/>
    <x v="1"/>
    <x v="1"/>
    <x v="1"/>
  </r>
  <r>
    <s v="JPB-45297-000"/>
    <x v="293"/>
    <s v="83105-86631-IU"/>
    <s v="R-L-0.2"/>
    <n v="4"/>
    <s v="Dell Daveridge"/>
    <s v="ddaveridge9p@arstechnica.com"/>
    <s v="United States"/>
    <s v="Rob"/>
    <s v="L"/>
    <x v="3"/>
    <n v="3.5849999999999995"/>
    <n v="14.339999999999998"/>
    <x v="0"/>
    <x v="1"/>
    <x v="1"/>
  </r>
  <r>
    <s v="MOU-74341-266"/>
    <x v="294"/>
    <s v="99358-65399-TC"/>
    <s v="A-D-0.5"/>
    <n v="4"/>
    <s v="Joshuah Awdry"/>
    <s v="jawdry9q@utexas.edu"/>
    <s v="United States"/>
    <s v="Ara"/>
    <s v="D"/>
    <x v="1"/>
    <n v="5.97"/>
    <n v="23.88"/>
    <x v="2"/>
    <x v="2"/>
    <x v="1"/>
  </r>
  <r>
    <s v="DHJ-87461-571"/>
    <x v="295"/>
    <s v="94525-76037-JP"/>
    <s v="A-M-1"/>
    <n v="2"/>
    <s v="Ethel Ryles"/>
    <s v="eryles9r@fastcompany.com"/>
    <s v="United States"/>
    <s v="Ara"/>
    <s v="M"/>
    <x v="0"/>
    <n v="11.25"/>
    <n v="22.5"/>
    <x v="2"/>
    <x v="0"/>
    <x v="1"/>
  </r>
  <r>
    <s v="DKM-97676-850"/>
    <x v="296"/>
    <s v="43439-94003-DW"/>
    <s v="E-D-0.5"/>
    <n v="5"/>
    <s v="Flynn Antony"/>
    <n v="0"/>
    <s v="United States"/>
    <s v="Exc"/>
    <s v="D"/>
    <x v="1"/>
    <n v="7.29"/>
    <n v="36.450000000000003"/>
    <x v="1"/>
    <x v="2"/>
    <x v="1"/>
  </r>
  <r>
    <s v="UEB-09112-118"/>
    <x v="297"/>
    <s v="82718-93677-XO"/>
    <s v="A-M-0.5"/>
    <n v="4"/>
    <s v="Maitilde Boxill"/>
    <n v="0"/>
    <s v="United States"/>
    <s v="Ara"/>
    <s v="M"/>
    <x v="1"/>
    <n v="6.75"/>
    <n v="27"/>
    <x v="2"/>
    <x v="0"/>
    <x v="0"/>
  </r>
  <r>
    <s v="ORZ-67699-748"/>
    <x v="298"/>
    <s v="44708-78241-DF"/>
    <s v="A-M-2.5"/>
    <n v="6"/>
    <s v="Jodee Caldicott"/>
    <s v="jcaldicott9u@usda.gov"/>
    <s v="United States"/>
    <s v="Ara"/>
    <s v="M"/>
    <x v="2"/>
    <n v="25.874999999999996"/>
    <n v="155.24999999999997"/>
    <x v="2"/>
    <x v="0"/>
    <x v="1"/>
  </r>
  <r>
    <s v="JXP-28398-485"/>
    <x v="299"/>
    <s v="23039-93032-FN"/>
    <s v="A-D-2.5"/>
    <n v="5"/>
    <s v="Marianna Vedmore"/>
    <s v="mvedmore9v@a8.net"/>
    <s v="United States"/>
    <s v="Ara"/>
    <s v="D"/>
    <x v="2"/>
    <n v="22.884999999999998"/>
    <n v="114.42499999999998"/>
    <x v="2"/>
    <x v="2"/>
    <x v="0"/>
  </r>
  <r>
    <s v="WWH-92259-198"/>
    <x v="300"/>
    <s v="35256-12529-FT"/>
    <s v="L-D-1"/>
    <n v="4"/>
    <s v="Willey Romao"/>
    <s v="wromao9w@chronoengine.com"/>
    <s v="United States"/>
    <s v="Lib"/>
    <s v="D"/>
    <x v="0"/>
    <n v="12.95"/>
    <n v="51.8"/>
    <x v="3"/>
    <x v="2"/>
    <x v="0"/>
  </r>
  <r>
    <s v="FLR-82914-153"/>
    <x v="301"/>
    <s v="86100-33488-WP"/>
    <s v="A-M-2.5"/>
    <n v="6"/>
    <s v="Enriqueta Ixor"/>
    <n v="0"/>
    <s v="United States"/>
    <s v="Ara"/>
    <s v="M"/>
    <x v="2"/>
    <n v="25.874999999999996"/>
    <n v="155.24999999999997"/>
    <x v="2"/>
    <x v="0"/>
    <x v="1"/>
  </r>
  <r>
    <s v="AMB-93600-000"/>
    <x v="302"/>
    <s v="64435-53100-WM"/>
    <s v="A-L-2.5"/>
    <n v="1"/>
    <s v="Tomasina Cotmore"/>
    <s v="tcotmore9y@amazonaws.com"/>
    <s v="United States"/>
    <s v="Ara"/>
    <s v="L"/>
    <x v="2"/>
    <n v="29.784999999999997"/>
    <n v="29.784999999999997"/>
    <x v="2"/>
    <x v="1"/>
    <x v="1"/>
  </r>
  <r>
    <s v="FEP-36895-658"/>
    <x v="303"/>
    <s v="44699-43836-UH"/>
    <s v="R-L-0.2"/>
    <n v="6"/>
    <s v="Yuma Skipsey"/>
    <s v="yskipsey9z@spotify.com"/>
    <s v="United Kingdom"/>
    <s v="Rob"/>
    <s v="L"/>
    <x v="3"/>
    <n v="3.5849999999999995"/>
    <n v="21.509999999999998"/>
    <x v="0"/>
    <x v="1"/>
    <x v="1"/>
  </r>
  <r>
    <s v="RXW-91413-276"/>
    <x v="304"/>
    <s v="29588-35679-RG"/>
    <s v="R-D-2.5"/>
    <n v="2"/>
    <s v="Nicko Corps"/>
    <s v="ncorpsa0@gmpg.org"/>
    <s v="United States"/>
    <s v="Rob"/>
    <s v="D"/>
    <x v="2"/>
    <n v="20.584999999999997"/>
    <n v="41.169999999999995"/>
    <x v="0"/>
    <x v="2"/>
    <x v="1"/>
  </r>
  <r>
    <s v="RXW-91413-276"/>
    <x v="304"/>
    <s v="29588-35679-RG"/>
    <s v="R-M-0.5"/>
    <n v="1"/>
    <s v="Nicko Corps"/>
    <s v="ncorpsa0@gmpg.org"/>
    <s v="United States"/>
    <s v="Rob"/>
    <s v="M"/>
    <x v="1"/>
    <n v="5.97"/>
    <n v="5.97"/>
    <x v="0"/>
    <x v="0"/>
    <x v="1"/>
  </r>
  <r>
    <s v="SDB-77492-188"/>
    <x v="305"/>
    <s v="64815-54078-HH"/>
    <s v="E-L-1"/>
    <n v="5"/>
    <s v="Feliks Babber"/>
    <s v="fbabbera2@stanford.edu"/>
    <s v="United States"/>
    <s v="Exc"/>
    <s v="L"/>
    <x v="0"/>
    <n v="14.85"/>
    <n v="74.25"/>
    <x v="1"/>
    <x v="1"/>
    <x v="0"/>
  </r>
  <r>
    <s v="RZN-65182-395"/>
    <x v="196"/>
    <s v="59572-41990-XY"/>
    <s v="L-M-1"/>
    <n v="6"/>
    <s v="Kaja Loxton"/>
    <s v="kloxtona3@opensource.org"/>
    <s v="United States"/>
    <s v="Lib"/>
    <s v="M"/>
    <x v="0"/>
    <n v="14.55"/>
    <n v="87.300000000000011"/>
    <x v="3"/>
    <x v="0"/>
    <x v="1"/>
  </r>
  <r>
    <s v="HDQ-86094-507"/>
    <x v="110"/>
    <s v="32481-61533-ZJ"/>
    <s v="E-D-1"/>
    <n v="6"/>
    <s v="Parker Tofful"/>
    <s v="ptoffula4@posterous.com"/>
    <s v="United States"/>
    <s v="Exc"/>
    <s v="D"/>
    <x v="0"/>
    <n v="12.15"/>
    <n v="72.900000000000006"/>
    <x v="1"/>
    <x v="2"/>
    <x v="0"/>
  </r>
  <r>
    <s v="YXO-79631-417"/>
    <x v="24"/>
    <s v="31587-92570-HL"/>
    <s v="L-D-0.5"/>
    <n v="1"/>
    <s v="Casi Gwinnett"/>
    <s v="cgwinnetta5@behance.net"/>
    <s v="United States"/>
    <s v="Lib"/>
    <s v="D"/>
    <x v="1"/>
    <n v="7.77"/>
    <n v="7.77"/>
    <x v="3"/>
    <x v="2"/>
    <x v="1"/>
  </r>
  <r>
    <s v="SNF-57032-096"/>
    <x v="306"/>
    <s v="93832-04799-ID"/>
    <s v="E-D-0.5"/>
    <n v="6"/>
    <s v="Saree Ellesworth"/>
    <n v="0"/>
    <s v="United States"/>
    <s v="Exc"/>
    <s v="D"/>
    <x v="1"/>
    <n v="7.29"/>
    <n v="43.74"/>
    <x v="1"/>
    <x v="2"/>
    <x v="1"/>
  </r>
  <r>
    <s v="DGL-29648-995"/>
    <x v="307"/>
    <s v="59367-30821-ZQ"/>
    <s v="L-M-0.2"/>
    <n v="2"/>
    <s v="Silvio Iorizzi"/>
    <n v="0"/>
    <s v="United States"/>
    <s v="Lib"/>
    <s v="M"/>
    <x v="3"/>
    <n v="4.3650000000000002"/>
    <n v="8.73"/>
    <x v="3"/>
    <x v="0"/>
    <x v="0"/>
  </r>
  <r>
    <s v="GPU-65651-504"/>
    <x v="308"/>
    <s v="83947-45528-ET"/>
    <s v="E-M-2.5"/>
    <n v="2"/>
    <s v="Leesa Flaonier"/>
    <s v="lflaoniera8@wordpress.org"/>
    <s v="United States"/>
    <s v="Exc"/>
    <s v="M"/>
    <x v="2"/>
    <n v="31.624999999999996"/>
    <n v="63.249999999999993"/>
    <x v="1"/>
    <x v="0"/>
    <x v="1"/>
  </r>
  <r>
    <s v="OJU-34452-896"/>
    <x v="309"/>
    <s v="60799-92593-CX"/>
    <s v="E-L-0.5"/>
    <n v="1"/>
    <s v="Abba Pummell"/>
    <n v="0"/>
    <s v="United States"/>
    <s v="Exc"/>
    <s v="L"/>
    <x v="1"/>
    <n v="8.91"/>
    <n v="8.91"/>
    <x v="1"/>
    <x v="1"/>
    <x v="0"/>
  </r>
  <r>
    <s v="GZS-50547-887"/>
    <x v="310"/>
    <s v="61600-55136-UM"/>
    <s v="E-D-1"/>
    <n v="2"/>
    <s v="Corinna Catcheside"/>
    <s v="ccatchesideaa@macromedia.com"/>
    <s v="United States"/>
    <s v="Exc"/>
    <s v="D"/>
    <x v="0"/>
    <n v="12.15"/>
    <n v="24.3"/>
    <x v="1"/>
    <x v="2"/>
    <x v="0"/>
  </r>
  <r>
    <s v="ESR-54041-053"/>
    <x v="311"/>
    <s v="59771-90302-OF"/>
    <s v="A-L-0.5"/>
    <n v="6"/>
    <s v="Cortney Gibbonson"/>
    <s v="cgibbonsonab@accuweather.com"/>
    <s v="United States"/>
    <s v="Ara"/>
    <s v="L"/>
    <x v="1"/>
    <n v="7.77"/>
    <n v="46.62"/>
    <x v="2"/>
    <x v="1"/>
    <x v="0"/>
  </r>
  <r>
    <s v="OGD-10781-526"/>
    <x v="132"/>
    <s v="16880-78077-FB"/>
    <s v="R-L-0.5"/>
    <n v="6"/>
    <s v="Terri Farra"/>
    <s v="tfarraac@behance.net"/>
    <s v="United States"/>
    <s v="Rob"/>
    <s v="L"/>
    <x v="1"/>
    <n v="7.169999999999999"/>
    <n v="43.019999999999996"/>
    <x v="0"/>
    <x v="1"/>
    <x v="1"/>
  </r>
  <r>
    <s v="FVH-29271-315"/>
    <x v="312"/>
    <s v="74415-50873-FC"/>
    <s v="A-D-0.5"/>
    <n v="3"/>
    <s v="Corney Curme"/>
    <n v="0"/>
    <s v="Ireland"/>
    <s v="Ara"/>
    <s v="D"/>
    <x v="1"/>
    <n v="5.97"/>
    <n v="17.91"/>
    <x v="2"/>
    <x v="2"/>
    <x v="0"/>
  </r>
  <r>
    <s v="BNZ-20544-633"/>
    <x v="313"/>
    <s v="31798-95707-NR"/>
    <s v="L-L-0.5"/>
    <n v="4"/>
    <s v="Gothart Bamfield"/>
    <s v="gbamfieldae@yellowpages.com"/>
    <s v="United States"/>
    <s v="Lib"/>
    <s v="L"/>
    <x v="1"/>
    <n v="9.51"/>
    <n v="38.04"/>
    <x v="3"/>
    <x v="1"/>
    <x v="0"/>
  </r>
  <r>
    <s v="FUX-85791-078"/>
    <x v="156"/>
    <s v="59122-08794-WT"/>
    <s v="A-M-0.2"/>
    <n v="2"/>
    <s v="Waylin Hollingdale"/>
    <s v="whollingdaleaf@about.me"/>
    <s v="United States"/>
    <s v="Ara"/>
    <s v="M"/>
    <x v="3"/>
    <n v="3.375"/>
    <n v="6.75"/>
    <x v="2"/>
    <x v="0"/>
    <x v="0"/>
  </r>
  <r>
    <s v="YXP-20078-116"/>
    <x v="314"/>
    <s v="37238-52421-JJ"/>
    <s v="R-M-0.5"/>
    <n v="1"/>
    <s v="Judd De Leek"/>
    <s v="jdeag@xrea.com"/>
    <s v="United States"/>
    <s v="Rob"/>
    <s v="M"/>
    <x v="1"/>
    <n v="5.97"/>
    <n v="5.97"/>
    <x v="0"/>
    <x v="0"/>
    <x v="0"/>
  </r>
  <r>
    <s v="VQV-59984-866"/>
    <x v="315"/>
    <s v="48854-01899-FN"/>
    <s v="R-D-0.2"/>
    <n v="3"/>
    <s v="Vanya Skullet"/>
    <s v="vskulletah@tinyurl.com"/>
    <s v="Ireland"/>
    <s v="Rob"/>
    <s v="D"/>
    <x v="3"/>
    <n v="2.6849999999999996"/>
    <n v="8.0549999999999997"/>
    <x v="0"/>
    <x v="2"/>
    <x v="1"/>
  </r>
  <r>
    <s v="JEH-37276-048"/>
    <x v="316"/>
    <s v="80896-38819-DW"/>
    <s v="A-L-0.5"/>
    <n v="3"/>
    <s v="Jany Rudeforth"/>
    <s v="jrudeforthai@wunderground.com"/>
    <s v="Ireland"/>
    <s v="Ara"/>
    <s v="L"/>
    <x v="1"/>
    <n v="7.77"/>
    <n v="23.31"/>
    <x v="2"/>
    <x v="1"/>
    <x v="0"/>
  </r>
  <r>
    <s v="VYD-28555-589"/>
    <x v="317"/>
    <s v="29814-01459-RC"/>
    <s v="R-L-0.5"/>
    <n v="6"/>
    <s v="Ashbey Tomaszewski"/>
    <s v="atomaszewskiaj@answers.com"/>
    <s v="United Kingdom"/>
    <s v="Rob"/>
    <s v="L"/>
    <x v="1"/>
    <n v="7.169999999999999"/>
    <n v="43.019999999999996"/>
    <x v="0"/>
    <x v="1"/>
    <x v="0"/>
  </r>
  <r>
    <s v="WUG-76466-650"/>
    <x v="318"/>
    <s v="43439-94003-DW"/>
    <s v="L-D-0.5"/>
    <n v="3"/>
    <s v="Flynn Antony"/>
    <n v="0"/>
    <s v="United States"/>
    <s v="Lib"/>
    <s v="D"/>
    <x v="1"/>
    <n v="7.77"/>
    <n v="23.31"/>
    <x v="3"/>
    <x v="2"/>
    <x v="1"/>
  </r>
  <r>
    <s v="RJV-08261-583"/>
    <x v="182"/>
    <s v="48497-29281-FE"/>
    <s v="A-D-0.2"/>
    <n v="5"/>
    <s v="Pren Bess"/>
    <s v="pbessal@qq.com"/>
    <s v="United States"/>
    <s v="Ara"/>
    <s v="D"/>
    <x v="3"/>
    <n v="2.9849999999999999"/>
    <n v="14.924999999999999"/>
    <x v="2"/>
    <x v="2"/>
    <x v="0"/>
  </r>
  <r>
    <s v="PMR-56062-609"/>
    <x v="319"/>
    <s v="43605-12616-YH"/>
    <s v="E-D-0.5"/>
    <n v="3"/>
    <s v="Elka Windress"/>
    <s v="ewindressam@marketwatch.com"/>
    <s v="United States"/>
    <s v="Exc"/>
    <s v="D"/>
    <x v="1"/>
    <n v="7.29"/>
    <n v="21.87"/>
    <x v="1"/>
    <x v="2"/>
    <x v="1"/>
  </r>
  <r>
    <s v="XLD-12920-505"/>
    <x v="320"/>
    <s v="21907-75962-VB"/>
    <s v="E-L-0.5"/>
    <n v="6"/>
    <s v="Marty Kidstoun"/>
    <n v="0"/>
    <s v="United States"/>
    <s v="Exc"/>
    <s v="L"/>
    <x v="1"/>
    <n v="8.91"/>
    <n v="53.46"/>
    <x v="1"/>
    <x v="1"/>
    <x v="0"/>
  </r>
  <r>
    <s v="UBW-50312-037"/>
    <x v="321"/>
    <s v="69503-12127-YD"/>
    <s v="A-L-2.5"/>
    <n v="4"/>
    <s v="Nickey Dimbleby"/>
    <n v="0"/>
    <s v="United States"/>
    <s v="Ara"/>
    <s v="L"/>
    <x v="2"/>
    <n v="29.784999999999997"/>
    <n v="119.13999999999999"/>
    <x v="2"/>
    <x v="1"/>
    <x v="1"/>
  </r>
  <r>
    <s v="QAW-05889-019"/>
    <x v="322"/>
    <s v="68810-07329-EU"/>
    <s v="L-M-0.5"/>
    <n v="5"/>
    <s v="Virgil Baumadier"/>
    <s v="vbaumadierap@google.cn"/>
    <s v="United States"/>
    <s v="Lib"/>
    <s v="M"/>
    <x v="1"/>
    <n v="8.73"/>
    <n v="43.650000000000006"/>
    <x v="3"/>
    <x v="0"/>
    <x v="0"/>
  </r>
  <r>
    <s v="EPT-12715-397"/>
    <x v="128"/>
    <s v="08478-75251-OG"/>
    <s v="A-D-0.2"/>
    <n v="6"/>
    <s v="Lenore Messenbird"/>
    <n v="0"/>
    <s v="United States"/>
    <s v="Ara"/>
    <s v="D"/>
    <x v="3"/>
    <n v="2.9849999999999999"/>
    <n v="17.91"/>
    <x v="2"/>
    <x v="2"/>
    <x v="0"/>
  </r>
  <r>
    <s v="DHT-93810-053"/>
    <x v="323"/>
    <s v="17005-82030-EA"/>
    <s v="E-L-1"/>
    <n v="5"/>
    <s v="Shirleen Welds"/>
    <s v="sweldsar@wired.com"/>
    <s v="United States"/>
    <s v="Exc"/>
    <s v="L"/>
    <x v="0"/>
    <n v="14.85"/>
    <n v="74.25"/>
    <x v="1"/>
    <x v="1"/>
    <x v="0"/>
  </r>
  <r>
    <s v="DMY-96037-963"/>
    <x v="324"/>
    <s v="42179-95059-DO"/>
    <s v="L-D-0.2"/>
    <n v="3"/>
    <s v="Maisie Sarvar"/>
    <s v="msarvaras@artisteer.com"/>
    <s v="United States"/>
    <s v="Lib"/>
    <s v="D"/>
    <x v="3"/>
    <n v="3.8849999999999998"/>
    <n v="11.654999999999999"/>
    <x v="3"/>
    <x v="2"/>
    <x v="0"/>
  </r>
  <r>
    <s v="MBM-55936-917"/>
    <x v="325"/>
    <s v="55989-39849-WO"/>
    <s v="L-D-0.5"/>
    <n v="3"/>
    <s v="Andrej Havick"/>
    <s v="ahavickat@nsw.gov.au"/>
    <s v="United States"/>
    <s v="Lib"/>
    <s v="D"/>
    <x v="1"/>
    <n v="7.77"/>
    <n v="23.31"/>
    <x v="3"/>
    <x v="2"/>
    <x v="0"/>
  </r>
  <r>
    <s v="TPA-93614-840"/>
    <x v="326"/>
    <s v="28932-49296-TM"/>
    <s v="E-D-0.5"/>
    <n v="2"/>
    <s v="Sloan Diviny"/>
    <s v="sdivinyau@ask.com"/>
    <s v="United States"/>
    <s v="Exc"/>
    <s v="D"/>
    <x v="1"/>
    <n v="7.29"/>
    <n v="14.58"/>
    <x v="1"/>
    <x v="2"/>
    <x v="0"/>
  </r>
  <r>
    <s v="WDM-77521-710"/>
    <x v="327"/>
    <s v="86144-10144-CB"/>
    <s v="A-M-0.5"/>
    <n v="2"/>
    <s v="Itch Norquoy"/>
    <s v="inorquoyav@businessweek.com"/>
    <s v="United States"/>
    <s v="Ara"/>
    <s v="M"/>
    <x v="1"/>
    <n v="6.75"/>
    <n v="13.5"/>
    <x v="2"/>
    <x v="0"/>
    <x v="1"/>
  </r>
  <r>
    <s v="EIP-19142-462"/>
    <x v="328"/>
    <s v="60973-72562-DQ"/>
    <s v="E-L-1"/>
    <n v="6"/>
    <s v="Anson Iddison"/>
    <s v="aiddisonaw@usa.gov"/>
    <s v="United States"/>
    <s v="Exc"/>
    <s v="L"/>
    <x v="0"/>
    <n v="14.85"/>
    <n v="89.1"/>
    <x v="1"/>
    <x v="1"/>
    <x v="1"/>
  </r>
  <r>
    <s v="EIP-19142-462"/>
    <x v="328"/>
    <s v="60973-72562-DQ"/>
    <s v="A-L-0.2"/>
    <n v="1"/>
    <s v="Anson Iddison"/>
    <s v="aiddisonaw@usa.gov"/>
    <s v="United States"/>
    <s v="Ara"/>
    <s v="L"/>
    <x v="3"/>
    <n v="3.8849999999999998"/>
    <n v="3.8849999999999998"/>
    <x v="2"/>
    <x v="1"/>
    <x v="1"/>
  </r>
  <r>
    <s v="ZZL-76364-387"/>
    <x v="128"/>
    <s v="11263-86515-VU"/>
    <s v="R-L-2.5"/>
    <n v="4"/>
    <s v="Randal Longfield"/>
    <s v="rlongfielday@bluehost.com"/>
    <s v="United States"/>
    <s v="Rob"/>
    <s v="L"/>
    <x v="2"/>
    <n v="27.484999999999996"/>
    <n v="109.93999999999998"/>
    <x v="0"/>
    <x v="1"/>
    <x v="1"/>
  </r>
  <r>
    <s v="GMF-18638-786"/>
    <x v="329"/>
    <s v="60004-62976-NI"/>
    <s v="L-D-0.5"/>
    <n v="6"/>
    <s v="Gregorius Kislingbury"/>
    <s v="gkislingburyaz@samsung.com"/>
    <s v="United States"/>
    <s v="Lib"/>
    <s v="D"/>
    <x v="1"/>
    <n v="7.77"/>
    <n v="46.62"/>
    <x v="3"/>
    <x v="2"/>
    <x v="0"/>
  </r>
  <r>
    <s v="TDJ-20844-787"/>
    <x v="330"/>
    <s v="77876-28498-HI"/>
    <s v="A-L-0.5"/>
    <n v="5"/>
    <s v="Xenos Gibbons"/>
    <s v="xgibbonsb0@artisteer.com"/>
    <s v="United States"/>
    <s v="Ara"/>
    <s v="L"/>
    <x v="1"/>
    <n v="7.77"/>
    <n v="38.849999999999994"/>
    <x v="2"/>
    <x v="1"/>
    <x v="1"/>
  </r>
  <r>
    <s v="BWK-39400-446"/>
    <x v="331"/>
    <s v="61302-06948-EH"/>
    <s v="L-D-0.5"/>
    <n v="4"/>
    <s v="Fleur Parres"/>
    <s v="fparresb1@imageshack.us"/>
    <s v="United States"/>
    <s v="Lib"/>
    <s v="D"/>
    <x v="1"/>
    <n v="7.77"/>
    <n v="31.08"/>
    <x v="3"/>
    <x v="2"/>
    <x v="0"/>
  </r>
  <r>
    <s v="LCB-02099-995"/>
    <x v="332"/>
    <s v="06757-96251-UH"/>
    <s v="A-D-0.2"/>
    <n v="6"/>
    <s v="Gran Sibray"/>
    <s v="gsibrayb2@wsj.com"/>
    <s v="United States"/>
    <s v="Ara"/>
    <s v="D"/>
    <x v="3"/>
    <n v="2.9849999999999999"/>
    <n v="17.91"/>
    <x v="2"/>
    <x v="2"/>
    <x v="0"/>
  </r>
  <r>
    <s v="UBA-43678-174"/>
    <x v="333"/>
    <s v="44530-75983-OD"/>
    <s v="E-D-2.5"/>
    <n v="6"/>
    <s v="Ingelbert Hotchkin"/>
    <s v="ihotchkinb3@mit.edu"/>
    <s v="United Kingdom"/>
    <s v="Exc"/>
    <s v="D"/>
    <x v="2"/>
    <n v="27.945"/>
    <n v="167.67000000000002"/>
    <x v="1"/>
    <x v="2"/>
    <x v="1"/>
  </r>
  <r>
    <s v="UDH-24280-432"/>
    <x v="334"/>
    <s v="44865-58249-RY"/>
    <s v="L-L-1"/>
    <n v="4"/>
    <s v="Neely Broadberrie"/>
    <s v="nbroadberrieb4@gnu.org"/>
    <s v="United States"/>
    <s v="Lib"/>
    <s v="L"/>
    <x v="0"/>
    <n v="15.85"/>
    <n v="63.4"/>
    <x v="3"/>
    <x v="1"/>
    <x v="1"/>
  </r>
  <r>
    <s v="IDQ-20193-502"/>
    <x v="335"/>
    <s v="36021-61205-DF"/>
    <s v="L-M-0.2"/>
    <n v="2"/>
    <s v="Rutger Pithcock"/>
    <s v="rpithcockb5@yellowbook.com"/>
    <s v="United States"/>
    <s v="Lib"/>
    <s v="M"/>
    <x v="3"/>
    <n v="4.3650000000000002"/>
    <n v="8.73"/>
    <x v="3"/>
    <x v="0"/>
    <x v="0"/>
  </r>
  <r>
    <s v="DJG-14442-608"/>
    <x v="336"/>
    <s v="75716-12782-SS"/>
    <s v="R-D-1"/>
    <n v="3"/>
    <s v="Gale Croysdale"/>
    <s v="gcroysdaleb6@nih.gov"/>
    <s v="United States"/>
    <s v="Rob"/>
    <s v="D"/>
    <x v="0"/>
    <n v="8.9499999999999993"/>
    <n v="26.849999999999998"/>
    <x v="0"/>
    <x v="2"/>
    <x v="0"/>
  </r>
  <r>
    <s v="DWB-61381-370"/>
    <x v="337"/>
    <s v="11812-00461-KH"/>
    <s v="L-L-0.2"/>
    <n v="2"/>
    <s v="Benedetto Gozzett"/>
    <s v="bgozzettb7@github.com"/>
    <s v="United States"/>
    <s v="Lib"/>
    <s v="L"/>
    <x v="3"/>
    <n v="4.7549999999999999"/>
    <n v="9.51"/>
    <x v="3"/>
    <x v="1"/>
    <x v="1"/>
  </r>
  <r>
    <s v="FRD-17347-990"/>
    <x v="80"/>
    <s v="46681-78850-ZW"/>
    <s v="A-D-1"/>
    <n v="4"/>
    <s v="Tania Craggs"/>
    <s v="tcraggsb8@house.gov"/>
    <s v="Ireland"/>
    <s v="Ara"/>
    <s v="D"/>
    <x v="0"/>
    <n v="9.9499999999999993"/>
    <n v="39.799999999999997"/>
    <x v="2"/>
    <x v="2"/>
    <x v="1"/>
  </r>
  <r>
    <s v="YPP-27450-525"/>
    <x v="338"/>
    <s v="01932-87052-KO"/>
    <s v="E-M-0.5"/>
    <n v="3"/>
    <s v="Leonie Cullrford"/>
    <s v="lcullrfordb9@xing.com"/>
    <s v="United States"/>
    <s v="Exc"/>
    <s v="M"/>
    <x v="1"/>
    <n v="8.25"/>
    <n v="24.75"/>
    <x v="1"/>
    <x v="0"/>
    <x v="0"/>
  </r>
  <r>
    <s v="EFC-39577-424"/>
    <x v="339"/>
    <s v="16046-34805-ZF"/>
    <s v="E-M-1"/>
    <n v="5"/>
    <s v="Auguste Rizon"/>
    <s v="arizonba@xing.com"/>
    <s v="United States"/>
    <s v="Exc"/>
    <s v="M"/>
    <x v="0"/>
    <n v="13.75"/>
    <n v="68.75"/>
    <x v="1"/>
    <x v="0"/>
    <x v="0"/>
  </r>
  <r>
    <s v="LAW-80062-016"/>
    <x v="340"/>
    <s v="34546-70516-LR"/>
    <s v="E-M-0.5"/>
    <n v="6"/>
    <s v="Lorin Guerrazzi"/>
    <n v="0"/>
    <s v="Ireland"/>
    <s v="Exc"/>
    <s v="M"/>
    <x v="1"/>
    <n v="8.25"/>
    <n v="49.5"/>
    <x v="1"/>
    <x v="0"/>
    <x v="1"/>
  </r>
  <r>
    <s v="WKL-27981-758"/>
    <x v="177"/>
    <s v="73699-93557-FZ"/>
    <s v="A-M-2.5"/>
    <n v="2"/>
    <s v="Felice Miell"/>
    <s v="fmiellbc@spiegel.de"/>
    <s v="United States"/>
    <s v="Ara"/>
    <s v="M"/>
    <x v="2"/>
    <n v="25.874999999999996"/>
    <n v="51.749999999999993"/>
    <x v="2"/>
    <x v="0"/>
    <x v="0"/>
  </r>
  <r>
    <s v="VRT-39834-265"/>
    <x v="341"/>
    <s v="86686-37462-CK"/>
    <s v="L-L-1"/>
    <n v="3"/>
    <s v="Hamish Skeech"/>
    <n v="0"/>
    <s v="Ireland"/>
    <s v="Lib"/>
    <s v="L"/>
    <x v="0"/>
    <n v="15.85"/>
    <n v="47.55"/>
    <x v="3"/>
    <x v="1"/>
    <x v="0"/>
  </r>
  <r>
    <s v="QTC-71005-730"/>
    <x v="342"/>
    <s v="14298-02150-KH"/>
    <s v="A-L-0.2"/>
    <n v="4"/>
    <s v="Giordano Lorenzin"/>
    <n v="0"/>
    <s v="United States"/>
    <s v="Ara"/>
    <s v="L"/>
    <x v="3"/>
    <n v="3.8849999999999998"/>
    <n v="15.54"/>
    <x v="2"/>
    <x v="1"/>
    <x v="1"/>
  </r>
  <r>
    <s v="TNX-09857-717"/>
    <x v="343"/>
    <s v="48675-07824-HJ"/>
    <s v="L-M-1"/>
    <n v="6"/>
    <s v="Harwilll Bishell"/>
    <n v="0"/>
    <s v="United States"/>
    <s v="Lib"/>
    <s v="M"/>
    <x v="0"/>
    <n v="14.55"/>
    <n v="87.300000000000011"/>
    <x v="3"/>
    <x v="0"/>
    <x v="0"/>
  </r>
  <r>
    <s v="JZV-43874-185"/>
    <x v="344"/>
    <s v="18551-80943-YQ"/>
    <s v="A-M-1"/>
    <n v="5"/>
    <s v="Freeland Missenden"/>
    <n v="0"/>
    <s v="United States"/>
    <s v="Ara"/>
    <s v="M"/>
    <x v="0"/>
    <n v="11.25"/>
    <n v="56.25"/>
    <x v="2"/>
    <x v="0"/>
    <x v="0"/>
  </r>
  <r>
    <s v="ICF-17486-106"/>
    <x v="47"/>
    <s v="19196-09748-DB"/>
    <s v="L-L-2.5"/>
    <n v="1"/>
    <s v="Waylan Springall"/>
    <s v="wspringallbh@jugem.jp"/>
    <s v="United States"/>
    <s v="Lib"/>
    <s v="L"/>
    <x v="2"/>
    <n v="36.454999999999998"/>
    <n v="36.454999999999998"/>
    <x v="3"/>
    <x v="1"/>
    <x v="0"/>
  </r>
  <r>
    <s v="BMK-49520-383"/>
    <x v="345"/>
    <s v="72233-08665-IP"/>
    <s v="R-L-0.2"/>
    <n v="3"/>
    <s v="Kiri Avramow"/>
    <n v="0"/>
    <s v="United States"/>
    <s v="Rob"/>
    <s v="L"/>
    <x v="3"/>
    <n v="3.5849999999999995"/>
    <n v="10.754999999999999"/>
    <x v="0"/>
    <x v="1"/>
    <x v="0"/>
  </r>
  <r>
    <s v="HTS-15020-632"/>
    <x v="169"/>
    <s v="53817-13148-RK"/>
    <s v="R-M-0.2"/>
    <n v="3"/>
    <s v="Gregg Hawkyens"/>
    <s v="ghawkyensbj@census.gov"/>
    <s v="United States"/>
    <s v="Rob"/>
    <s v="M"/>
    <x v="3"/>
    <n v="2.9849999999999999"/>
    <n v="8.9550000000000001"/>
    <x v="0"/>
    <x v="0"/>
    <x v="1"/>
  </r>
  <r>
    <s v="YLE-18247-749"/>
    <x v="346"/>
    <s v="92227-49331-QR"/>
    <s v="A-L-0.5"/>
    <n v="3"/>
    <s v="Reggis Pracy"/>
    <n v="0"/>
    <s v="United States"/>
    <s v="Ara"/>
    <s v="L"/>
    <x v="1"/>
    <n v="7.77"/>
    <n v="23.31"/>
    <x v="2"/>
    <x v="1"/>
    <x v="0"/>
  </r>
  <r>
    <s v="KJJ-12573-591"/>
    <x v="347"/>
    <s v="12997-41076-FQ"/>
    <s v="A-L-2.5"/>
    <n v="1"/>
    <s v="Paula Denis"/>
    <n v="0"/>
    <s v="United States"/>
    <s v="Ara"/>
    <s v="L"/>
    <x v="2"/>
    <n v="29.784999999999997"/>
    <n v="29.784999999999997"/>
    <x v="2"/>
    <x v="1"/>
    <x v="0"/>
  </r>
  <r>
    <s v="RGU-43561-950"/>
    <x v="348"/>
    <s v="44220-00348-MB"/>
    <s v="A-L-2.5"/>
    <n v="5"/>
    <s v="Broderick McGilvra"/>
    <s v="bmcgilvrabm@so-net.ne.jp"/>
    <s v="United States"/>
    <s v="Ara"/>
    <s v="L"/>
    <x v="2"/>
    <n v="29.784999999999997"/>
    <n v="148.92499999999998"/>
    <x v="2"/>
    <x v="1"/>
    <x v="0"/>
  </r>
  <r>
    <s v="JSN-73975-443"/>
    <x v="349"/>
    <s v="93047-98331-DD"/>
    <s v="L-M-0.5"/>
    <n v="1"/>
    <s v="Annabella Danzey"/>
    <s v="adanzeybn@github.com"/>
    <s v="United States"/>
    <s v="Lib"/>
    <s v="M"/>
    <x v="1"/>
    <n v="8.73"/>
    <n v="8.73"/>
    <x v="3"/>
    <x v="0"/>
    <x v="0"/>
  </r>
  <r>
    <s v="WNR-71736-993"/>
    <x v="350"/>
    <s v="16880-78077-FB"/>
    <s v="L-D-0.5"/>
    <n v="4"/>
    <s v="Terri Farra"/>
    <s v="tfarraac@behance.net"/>
    <s v="United States"/>
    <s v="Lib"/>
    <s v="D"/>
    <x v="1"/>
    <n v="7.77"/>
    <n v="31.08"/>
    <x v="3"/>
    <x v="2"/>
    <x v="1"/>
  </r>
  <r>
    <s v="WNR-71736-993"/>
    <x v="350"/>
    <s v="16880-78077-FB"/>
    <s v="A-D-2.5"/>
    <n v="6"/>
    <s v="Terri Farra"/>
    <s v="tfarraac@behance.net"/>
    <s v="United States"/>
    <s v="Ara"/>
    <s v="D"/>
    <x v="2"/>
    <n v="22.884999999999998"/>
    <n v="137.31"/>
    <x v="2"/>
    <x v="2"/>
    <x v="1"/>
  </r>
  <r>
    <s v="HNI-91338-546"/>
    <x v="54"/>
    <s v="67285-75317-XI"/>
    <s v="A-D-0.5"/>
    <n v="5"/>
    <s v="Nevins Glowacz"/>
    <n v="0"/>
    <s v="United States"/>
    <s v="Ara"/>
    <s v="D"/>
    <x v="1"/>
    <n v="5.97"/>
    <n v="29.849999999999998"/>
    <x v="2"/>
    <x v="2"/>
    <x v="1"/>
  </r>
  <r>
    <s v="CYH-53243-218"/>
    <x v="237"/>
    <s v="88167-57964-PH"/>
    <s v="R-M-0.5"/>
    <n v="3"/>
    <s v="Adelice Isabell"/>
    <n v="0"/>
    <s v="United States"/>
    <s v="Rob"/>
    <s v="M"/>
    <x v="1"/>
    <n v="5.97"/>
    <n v="17.91"/>
    <x v="0"/>
    <x v="0"/>
    <x v="1"/>
  </r>
  <r>
    <s v="SVD-75407-177"/>
    <x v="351"/>
    <s v="16106-36039-QS"/>
    <s v="E-L-0.5"/>
    <n v="3"/>
    <s v="Yulma Dombrell"/>
    <s v="ydombrellbs@dedecms.com"/>
    <s v="United States"/>
    <s v="Exc"/>
    <s v="L"/>
    <x v="1"/>
    <n v="8.91"/>
    <n v="26.73"/>
    <x v="1"/>
    <x v="1"/>
    <x v="0"/>
  </r>
  <r>
    <s v="NVN-66443-451"/>
    <x v="352"/>
    <s v="98921-82417-GN"/>
    <s v="R-D-1"/>
    <n v="2"/>
    <s v="Alric Darth"/>
    <s v="adarthbt@t.co"/>
    <s v="United States"/>
    <s v="Rob"/>
    <s v="D"/>
    <x v="0"/>
    <n v="8.9499999999999993"/>
    <n v="17.899999999999999"/>
    <x v="0"/>
    <x v="2"/>
    <x v="1"/>
  </r>
  <r>
    <s v="JUA-13580-095"/>
    <x v="102"/>
    <s v="55265-75151-AK"/>
    <s v="R-L-0.2"/>
    <n v="4"/>
    <s v="Manuel Darrigoe"/>
    <s v="mdarrigoebu@hud.gov"/>
    <s v="Ireland"/>
    <s v="Rob"/>
    <s v="L"/>
    <x v="3"/>
    <n v="3.5849999999999995"/>
    <n v="14.339999999999998"/>
    <x v="0"/>
    <x v="1"/>
    <x v="0"/>
  </r>
  <r>
    <s v="ACY-56225-839"/>
    <x v="353"/>
    <s v="47386-50743-FG"/>
    <s v="A-M-2.5"/>
    <n v="3"/>
    <s v="Kynthia Berick"/>
    <n v="0"/>
    <s v="United States"/>
    <s v="Ara"/>
    <s v="M"/>
    <x v="2"/>
    <n v="25.874999999999996"/>
    <n v="77.624999999999986"/>
    <x v="2"/>
    <x v="0"/>
    <x v="0"/>
  </r>
  <r>
    <s v="QBB-07903-622"/>
    <x v="354"/>
    <s v="32622-54551-UC"/>
    <s v="R-L-1"/>
    <n v="5"/>
    <s v="Minetta Ackrill"/>
    <s v="mackrillbw@bandcamp.com"/>
    <s v="United States"/>
    <s v="Rob"/>
    <s v="L"/>
    <x v="0"/>
    <n v="11.95"/>
    <n v="59.75"/>
    <x v="0"/>
    <x v="1"/>
    <x v="1"/>
  </r>
  <r>
    <s v="JLJ-81802-619"/>
    <x v="135"/>
    <s v="16880-78077-FB"/>
    <s v="A-L-1"/>
    <n v="6"/>
    <s v="Terri Farra"/>
    <s v="tfarraac@behance.net"/>
    <s v="United States"/>
    <s v="Ara"/>
    <s v="L"/>
    <x v="0"/>
    <n v="12.95"/>
    <n v="77.699999999999989"/>
    <x v="2"/>
    <x v="1"/>
    <x v="1"/>
  </r>
  <r>
    <s v="HFT-77191-168"/>
    <x v="343"/>
    <s v="48419-02347-XP"/>
    <s v="R-D-0.2"/>
    <n v="2"/>
    <s v="Melosa Kippen"/>
    <s v="mkippenby@dion.ne.jp"/>
    <s v="United States"/>
    <s v="Rob"/>
    <s v="D"/>
    <x v="3"/>
    <n v="2.6849999999999996"/>
    <n v="5.3699999999999992"/>
    <x v="0"/>
    <x v="2"/>
    <x v="0"/>
  </r>
  <r>
    <s v="SZR-35951-530"/>
    <x v="89"/>
    <s v="14121-20527-OJ"/>
    <s v="E-D-2.5"/>
    <n v="3"/>
    <s v="Witty Ranson"/>
    <s v="wransonbz@ted.com"/>
    <s v="Ireland"/>
    <s v="Exc"/>
    <s v="D"/>
    <x v="2"/>
    <n v="27.945"/>
    <n v="83.835000000000008"/>
    <x v="1"/>
    <x v="2"/>
    <x v="0"/>
  </r>
  <r>
    <s v="IKL-95976-565"/>
    <x v="355"/>
    <s v="53486-73919-BQ"/>
    <s v="A-M-1"/>
    <n v="2"/>
    <s v="Rod Gowdie"/>
    <n v="0"/>
    <s v="United States"/>
    <s v="Ara"/>
    <s v="M"/>
    <x v="0"/>
    <n v="11.25"/>
    <n v="22.5"/>
    <x v="2"/>
    <x v="0"/>
    <x v="1"/>
  </r>
  <r>
    <s v="XEY-48929-474"/>
    <x v="204"/>
    <s v="21889-94615-WT"/>
    <s v="L-M-2.5"/>
    <n v="6"/>
    <s v="Lemuel Rignold"/>
    <s v="lrignoldc1@miibeian.gov.cn"/>
    <s v="United States"/>
    <s v="Lib"/>
    <s v="M"/>
    <x v="2"/>
    <n v="33.464999999999996"/>
    <n v="200.78999999999996"/>
    <x v="3"/>
    <x v="0"/>
    <x v="0"/>
  </r>
  <r>
    <s v="SQT-07286-736"/>
    <x v="356"/>
    <s v="87726-16941-QW"/>
    <s v="A-M-1"/>
    <n v="6"/>
    <s v="Nevsa Fields"/>
    <n v="0"/>
    <s v="United States"/>
    <s v="Ara"/>
    <s v="M"/>
    <x v="0"/>
    <n v="11.25"/>
    <n v="67.5"/>
    <x v="2"/>
    <x v="0"/>
    <x v="1"/>
  </r>
  <r>
    <s v="QDU-45390-361"/>
    <x v="357"/>
    <s v="03677-09134-BC"/>
    <s v="E-M-0.5"/>
    <n v="1"/>
    <s v="Chance Rowthorn"/>
    <s v="crowthornc3@msn.com"/>
    <s v="United States"/>
    <s v="Exc"/>
    <s v="M"/>
    <x v="1"/>
    <n v="8.25"/>
    <n v="8.25"/>
    <x v="1"/>
    <x v="0"/>
    <x v="1"/>
  </r>
  <r>
    <s v="RUJ-30649-712"/>
    <x v="300"/>
    <s v="93224-71517-WV"/>
    <s v="L-L-0.2"/>
    <n v="2"/>
    <s v="Orly Ryland"/>
    <s v="orylandc4@deviantart.com"/>
    <s v="United States"/>
    <s v="Lib"/>
    <s v="L"/>
    <x v="3"/>
    <n v="4.7549999999999999"/>
    <n v="9.51"/>
    <x v="3"/>
    <x v="1"/>
    <x v="0"/>
  </r>
  <r>
    <s v="WSV-49732-075"/>
    <x v="358"/>
    <s v="76263-95145-GJ"/>
    <s v="L-D-2.5"/>
    <n v="1"/>
    <s v="Willabella Abramski"/>
    <n v="0"/>
    <s v="United States"/>
    <s v="Lib"/>
    <s v="D"/>
    <x v="2"/>
    <n v="29.784999999999997"/>
    <n v="29.784999999999997"/>
    <x v="3"/>
    <x v="2"/>
    <x v="1"/>
  </r>
  <r>
    <s v="VJF-46305-323"/>
    <x v="161"/>
    <s v="68555-89840-GZ"/>
    <s v="L-D-0.5"/>
    <n v="2"/>
    <s v="Morgen Seson"/>
    <s v="msesonck@census.gov"/>
    <s v="United States"/>
    <s v="Lib"/>
    <s v="D"/>
    <x v="1"/>
    <n v="7.77"/>
    <n v="15.54"/>
    <x v="3"/>
    <x v="2"/>
    <x v="1"/>
  </r>
  <r>
    <s v="CXD-74176-600"/>
    <x v="129"/>
    <s v="70624-19112-AO"/>
    <s v="E-L-0.5"/>
    <n v="4"/>
    <s v="Chickie Ragless"/>
    <s v="craglessc7@webmd.com"/>
    <s v="Ireland"/>
    <s v="Exc"/>
    <s v="L"/>
    <x v="1"/>
    <n v="8.91"/>
    <n v="35.64"/>
    <x v="1"/>
    <x v="1"/>
    <x v="1"/>
  </r>
  <r>
    <s v="ADX-50674-975"/>
    <x v="359"/>
    <s v="58916-61837-QH"/>
    <s v="A-M-2.5"/>
    <n v="4"/>
    <s v="Freda Hollows"/>
    <s v="fhollowsc8@blogtalkradio.com"/>
    <s v="United States"/>
    <s v="Ara"/>
    <s v="M"/>
    <x v="2"/>
    <n v="25.874999999999996"/>
    <n v="103.49999999999999"/>
    <x v="2"/>
    <x v="0"/>
    <x v="0"/>
  </r>
  <r>
    <s v="RRP-51647-420"/>
    <x v="360"/>
    <s v="89292-52335-YZ"/>
    <s v="E-D-1"/>
    <n v="3"/>
    <s v="Livy Lathleiff"/>
    <s v="llathleiffc9@nationalgeographic.com"/>
    <s v="Ireland"/>
    <s v="Exc"/>
    <s v="D"/>
    <x v="0"/>
    <n v="12.15"/>
    <n v="36.450000000000003"/>
    <x v="1"/>
    <x v="2"/>
    <x v="0"/>
  </r>
  <r>
    <s v="PKJ-99134-523"/>
    <x v="361"/>
    <s v="77284-34297-YY"/>
    <s v="R-L-0.5"/>
    <n v="5"/>
    <s v="Koralle Heads"/>
    <s v="kheadsca@jalbum.net"/>
    <s v="United States"/>
    <s v="Rob"/>
    <s v="L"/>
    <x v="1"/>
    <n v="7.169999999999999"/>
    <n v="35.849999999999994"/>
    <x v="0"/>
    <x v="1"/>
    <x v="1"/>
  </r>
  <r>
    <s v="FZQ-29439-457"/>
    <x v="362"/>
    <s v="50449-80974-BZ"/>
    <s v="E-L-0.2"/>
    <n v="5"/>
    <s v="Theo Bowne"/>
    <s v="tbownecb@unicef.org"/>
    <s v="Ireland"/>
    <s v="Exc"/>
    <s v="L"/>
    <x v="3"/>
    <n v="4.4550000000000001"/>
    <n v="22.274999999999999"/>
    <x v="1"/>
    <x v="1"/>
    <x v="0"/>
  </r>
  <r>
    <s v="USN-68115-161"/>
    <x v="363"/>
    <s v="08120-16183-AW"/>
    <s v="E-M-0.2"/>
    <n v="6"/>
    <s v="Rasia Jacquemard"/>
    <s v="rjacquemardcc@acquirethisname.com"/>
    <s v="Ireland"/>
    <s v="Exc"/>
    <s v="M"/>
    <x v="3"/>
    <n v="4.125"/>
    <n v="24.75"/>
    <x v="1"/>
    <x v="0"/>
    <x v="1"/>
  </r>
  <r>
    <s v="IXU-20263-532"/>
    <x v="364"/>
    <s v="68044-89277-ML"/>
    <s v="L-M-2.5"/>
    <n v="2"/>
    <s v="Kizzie Warman"/>
    <s v="kwarmancd@printfriendly.com"/>
    <s v="Ireland"/>
    <s v="Lib"/>
    <s v="M"/>
    <x v="2"/>
    <n v="33.464999999999996"/>
    <n v="66.929999999999993"/>
    <x v="3"/>
    <x v="0"/>
    <x v="0"/>
  </r>
  <r>
    <s v="CBT-15092-420"/>
    <x v="85"/>
    <s v="71364-35210-HS"/>
    <s v="L-M-0.5"/>
    <n v="1"/>
    <s v="Wain Cholomin"/>
    <s v="wcholomince@about.com"/>
    <s v="United Kingdom"/>
    <s v="Lib"/>
    <s v="M"/>
    <x v="1"/>
    <n v="8.73"/>
    <n v="8.73"/>
    <x v="3"/>
    <x v="0"/>
    <x v="0"/>
  </r>
  <r>
    <s v="PKQ-46841-696"/>
    <x v="365"/>
    <s v="37177-68797-ON"/>
    <s v="R-M-0.5"/>
    <n v="3"/>
    <s v="Arleen Braidman"/>
    <s v="abraidmancf@census.gov"/>
    <s v="United States"/>
    <s v="Rob"/>
    <s v="M"/>
    <x v="1"/>
    <n v="5.97"/>
    <n v="17.91"/>
    <x v="0"/>
    <x v="0"/>
    <x v="1"/>
  </r>
  <r>
    <s v="XDU-05471-219"/>
    <x v="366"/>
    <s v="60308-06944-GS"/>
    <s v="R-L-0.5"/>
    <n v="1"/>
    <s v="Pru Durban"/>
    <s v="pdurbancg@symantec.com"/>
    <s v="Ireland"/>
    <s v="Rob"/>
    <s v="L"/>
    <x v="1"/>
    <n v="7.169999999999999"/>
    <n v="7.169999999999999"/>
    <x v="0"/>
    <x v="1"/>
    <x v="1"/>
  </r>
  <r>
    <s v="NID-20149-329"/>
    <x v="367"/>
    <s v="49888-39458-PF"/>
    <s v="R-D-0.2"/>
    <n v="2"/>
    <s v="Antone Harrold"/>
    <s v="aharroldch@miibeian.gov.cn"/>
    <s v="United States"/>
    <s v="Rob"/>
    <s v="D"/>
    <x v="3"/>
    <n v="2.6849999999999996"/>
    <n v="5.3699999999999992"/>
    <x v="0"/>
    <x v="2"/>
    <x v="1"/>
  </r>
  <r>
    <s v="SVU-27222-213"/>
    <x v="142"/>
    <s v="60748-46813-DZ"/>
    <s v="L-L-0.2"/>
    <n v="5"/>
    <s v="Sim Pamphilon"/>
    <s v="spamphilonci@mlb.com"/>
    <s v="Ireland"/>
    <s v="Lib"/>
    <s v="L"/>
    <x v="3"/>
    <n v="4.7549999999999999"/>
    <n v="23.774999999999999"/>
    <x v="3"/>
    <x v="1"/>
    <x v="1"/>
  </r>
  <r>
    <s v="RWI-84131-848"/>
    <x v="368"/>
    <s v="16385-11286-NX"/>
    <s v="R-D-2.5"/>
    <n v="2"/>
    <s v="Mohandis Spurden"/>
    <s v="mspurdencj@exblog.jp"/>
    <s v="United States"/>
    <s v="Rob"/>
    <s v="D"/>
    <x v="2"/>
    <n v="20.584999999999997"/>
    <n v="41.169999999999995"/>
    <x v="0"/>
    <x v="2"/>
    <x v="0"/>
  </r>
  <r>
    <s v="GUU-40666-525"/>
    <x v="31"/>
    <s v="68555-89840-GZ"/>
    <s v="A-L-0.2"/>
    <n v="3"/>
    <s v="Morgen Seson"/>
    <s v="msesonck@census.gov"/>
    <s v="United States"/>
    <s v="Ara"/>
    <s v="L"/>
    <x v="3"/>
    <n v="3.8849999999999998"/>
    <n v="11.654999999999999"/>
    <x v="2"/>
    <x v="1"/>
    <x v="1"/>
  </r>
  <r>
    <s v="SCN-51395-066"/>
    <x v="369"/>
    <s v="72164-90254-EJ"/>
    <s v="L-L-0.5"/>
    <n v="4"/>
    <s v="Nalani Pirrone"/>
    <s v="npirronecl@weibo.com"/>
    <s v="United States"/>
    <s v="Lib"/>
    <s v="L"/>
    <x v="1"/>
    <n v="9.51"/>
    <n v="38.04"/>
    <x v="3"/>
    <x v="1"/>
    <x v="1"/>
  </r>
  <r>
    <s v="ULA-24644-321"/>
    <x v="370"/>
    <s v="67010-92988-CT"/>
    <s v="R-D-2.5"/>
    <n v="4"/>
    <s v="Reube Cawley"/>
    <s v="rcawleycm@yellowbook.com"/>
    <s v="Ireland"/>
    <s v="Rob"/>
    <s v="D"/>
    <x v="2"/>
    <n v="20.584999999999997"/>
    <n v="82.339999999999989"/>
    <x v="0"/>
    <x v="2"/>
    <x v="0"/>
  </r>
  <r>
    <s v="EOL-92666-762"/>
    <x v="371"/>
    <s v="15776-91507-GT"/>
    <s v="L-L-0.2"/>
    <n v="2"/>
    <s v="Stan Barribal"/>
    <s v="sbarribalcn@microsoft.com"/>
    <s v="Ireland"/>
    <s v="Lib"/>
    <s v="L"/>
    <x v="3"/>
    <n v="4.7549999999999999"/>
    <n v="9.51"/>
    <x v="3"/>
    <x v="1"/>
    <x v="0"/>
  </r>
  <r>
    <s v="AJV-18231-334"/>
    <x v="372"/>
    <s v="23473-41001-CD"/>
    <s v="R-D-2.5"/>
    <n v="2"/>
    <s v="Agnes Adamides"/>
    <s v="aadamidesco@bizjournals.com"/>
    <s v="United Kingdom"/>
    <s v="Rob"/>
    <s v="D"/>
    <x v="2"/>
    <n v="20.584999999999997"/>
    <n v="41.169999999999995"/>
    <x v="0"/>
    <x v="2"/>
    <x v="1"/>
  </r>
  <r>
    <s v="ZQI-47236-301"/>
    <x v="373"/>
    <s v="23446-47798-ID"/>
    <s v="L-L-0.5"/>
    <n v="5"/>
    <s v="Carmelita Thowes"/>
    <s v="cthowescp@craigslist.org"/>
    <s v="United States"/>
    <s v="Lib"/>
    <s v="L"/>
    <x v="1"/>
    <n v="9.51"/>
    <n v="47.55"/>
    <x v="3"/>
    <x v="1"/>
    <x v="1"/>
  </r>
  <r>
    <s v="ZCR-15721-658"/>
    <x v="374"/>
    <s v="28327-84469-ND"/>
    <s v="A-M-1"/>
    <n v="4"/>
    <s v="Rodolfo Willoway"/>
    <s v="rwillowaycq@admin.ch"/>
    <s v="United States"/>
    <s v="Ara"/>
    <s v="M"/>
    <x v="0"/>
    <n v="11.25"/>
    <n v="45"/>
    <x v="2"/>
    <x v="0"/>
    <x v="1"/>
  </r>
  <r>
    <s v="QEW-47945-682"/>
    <x v="319"/>
    <s v="42466-87067-DT"/>
    <s v="L-L-0.2"/>
    <n v="5"/>
    <s v="Alvis Elwin"/>
    <s v="aelwincr@privacy.gov.au"/>
    <s v="United States"/>
    <s v="Lib"/>
    <s v="L"/>
    <x v="3"/>
    <n v="4.7549999999999999"/>
    <n v="23.774999999999999"/>
    <x v="3"/>
    <x v="1"/>
    <x v="1"/>
  </r>
  <r>
    <s v="PSY-45485-542"/>
    <x v="375"/>
    <s v="62246-99443-HF"/>
    <s v="R-D-0.5"/>
    <n v="3"/>
    <s v="Araldo Bilbrook"/>
    <s v="abilbrookcs@booking.com"/>
    <s v="Ireland"/>
    <s v="Rob"/>
    <s v="D"/>
    <x v="1"/>
    <n v="5.3699999999999992"/>
    <n v="16.11"/>
    <x v="0"/>
    <x v="2"/>
    <x v="0"/>
  </r>
  <r>
    <s v="BAQ-74241-156"/>
    <x v="376"/>
    <s v="99869-55718-UU"/>
    <s v="R-D-0.2"/>
    <n v="4"/>
    <s v="Ransell McKall"/>
    <s v="rmckallct@sakura.ne.jp"/>
    <s v="United Kingdom"/>
    <s v="Rob"/>
    <s v="D"/>
    <x v="3"/>
    <n v="2.6849999999999996"/>
    <n v="10.739999999999998"/>
    <x v="0"/>
    <x v="2"/>
    <x v="0"/>
  </r>
  <r>
    <s v="BVU-77367-451"/>
    <x v="377"/>
    <s v="77421-46059-RY"/>
    <s v="A-D-1"/>
    <n v="5"/>
    <s v="Borg Daile"/>
    <s v="bdailecu@vistaprint.com"/>
    <s v="United States"/>
    <s v="Ara"/>
    <s v="D"/>
    <x v="0"/>
    <n v="9.9499999999999993"/>
    <n v="49.75"/>
    <x v="2"/>
    <x v="2"/>
    <x v="0"/>
  </r>
  <r>
    <s v="TJE-91516-344"/>
    <x v="378"/>
    <s v="49894-06550-OQ"/>
    <s v="E-M-1"/>
    <n v="2"/>
    <s v="Adolphe Treherne"/>
    <s v="atrehernecv@state.tx.us"/>
    <s v="Ireland"/>
    <s v="Exc"/>
    <s v="M"/>
    <x v="0"/>
    <n v="13.75"/>
    <n v="27.5"/>
    <x v="1"/>
    <x v="0"/>
    <x v="1"/>
  </r>
  <r>
    <s v="LIS-96202-702"/>
    <x v="277"/>
    <s v="72028-63343-SU"/>
    <s v="L-D-2.5"/>
    <n v="4"/>
    <s v="Annetta Brentnall"/>
    <s v="abrentnallcw@biglobe.ne.jp"/>
    <s v="United Kingdom"/>
    <s v="Lib"/>
    <s v="D"/>
    <x v="2"/>
    <n v="29.784999999999997"/>
    <n v="119.13999999999999"/>
    <x v="3"/>
    <x v="2"/>
    <x v="1"/>
  </r>
  <r>
    <s v="VIO-27668-766"/>
    <x v="379"/>
    <s v="10074-20104-NN"/>
    <s v="R-D-2.5"/>
    <n v="1"/>
    <s v="Dick Drinkall"/>
    <s v="ddrinkallcx@psu.edu"/>
    <s v="United States"/>
    <s v="Rob"/>
    <s v="D"/>
    <x v="2"/>
    <n v="20.584999999999997"/>
    <n v="20.584999999999997"/>
    <x v="0"/>
    <x v="2"/>
    <x v="0"/>
  </r>
  <r>
    <s v="ZVG-20473-043"/>
    <x v="86"/>
    <s v="71769-10219-IM"/>
    <s v="A-D-0.2"/>
    <n v="3"/>
    <s v="Dagny Kornel"/>
    <s v="dkornelcy@cyberchimps.com"/>
    <s v="United States"/>
    <s v="Ara"/>
    <s v="D"/>
    <x v="3"/>
    <n v="2.9849999999999999"/>
    <n v="8.9550000000000001"/>
    <x v="2"/>
    <x v="2"/>
    <x v="0"/>
  </r>
  <r>
    <s v="KGZ-56395-231"/>
    <x v="380"/>
    <s v="22221-71106-JD"/>
    <s v="A-D-0.5"/>
    <n v="1"/>
    <s v="Rhona Lequeux"/>
    <s v="rlequeuxcz@newyorker.com"/>
    <s v="United States"/>
    <s v="Ara"/>
    <s v="D"/>
    <x v="1"/>
    <n v="5.97"/>
    <n v="5.97"/>
    <x v="2"/>
    <x v="2"/>
    <x v="1"/>
  </r>
  <r>
    <s v="CUU-92244-729"/>
    <x v="381"/>
    <s v="99735-44927-OL"/>
    <s v="E-M-1"/>
    <n v="3"/>
    <s v="Julius Mccaull"/>
    <s v="jmccaulld0@parallels.com"/>
    <s v="United States"/>
    <s v="Exc"/>
    <s v="M"/>
    <x v="0"/>
    <n v="13.75"/>
    <n v="41.25"/>
    <x v="1"/>
    <x v="0"/>
    <x v="0"/>
  </r>
  <r>
    <s v="EHE-94714-312"/>
    <x v="382"/>
    <s v="27132-68907-RC"/>
    <s v="E-L-0.2"/>
    <n v="5"/>
    <s v="Ailey Brash"/>
    <s v="abrashda@plala.or.jp"/>
    <s v="United States"/>
    <s v="Exc"/>
    <s v="L"/>
    <x v="3"/>
    <n v="4.4550000000000001"/>
    <n v="22.274999999999999"/>
    <x v="1"/>
    <x v="1"/>
    <x v="0"/>
  </r>
  <r>
    <s v="RTL-16205-161"/>
    <x v="11"/>
    <s v="90440-62727-HI"/>
    <s v="A-M-0.5"/>
    <n v="1"/>
    <s v="Alberto Hutchinson"/>
    <s v="ahutchinsond2@imgur.com"/>
    <s v="United States"/>
    <s v="Ara"/>
    <s v="M"/>
    <x v="1"/>
    <n v="6.75"/>
    <n v="6.75"/>
    <x v="2"/>
    <x v="0"/>
    <x v="0"/>
  </r>
  <r>
    <s v="GTS-22482-014"/>
    <x v="167"/>
    <s v="36769-16558-SX"/>
    <s v="L-M-2.5"/>
    <n v="4"/>
    <s v="Lamond Gheeraert"/>
    <n v="0"/>
    <s v="United States"/>
    <s v="Lib"/>
    <s v="M"/>
    <x v="2"/>
    <n v="33.464999999999996"/>
    <n v="133.85999999999999"/>
    <x v="3"/>
    <x v="0"/>
    <x v="0"/>
  </r>
  <r>
    <s v="DYG-25473-881"/>
    <x v="383"/>
    <s v="10138-31681-SD"/>
    <s v="A-D-0.2"/>
    <n v="2"/>
    <s v="Roxine Drivers"/>
    <s v="rdriversd4@hexun.com"/>
    <s v="United States"/>
    <s v="Ara"/>
    <s v="D"/>
    <x v="3"/>
    <n v="2.9849999999999999"/>
    <n v="5.97"/>
    <x v="2"/>
    <x v="2"/>
    <x v="1"/>
  </r>
  <r>
    <s v="HTR-21838-286"/>
    <x v="18"/>
    <s v="24669-76297-SF"/>
    <s v="A-L-1"/>
    <n v="2"/>
    <s v="Heloise Zeal"/>
    <s v="hzeald5@google.de"/>
    <s v="United States"/>
    <s v="Ara"/>
    <s v="L"/>
    <x v="0"/>
    <n v="12.95"/>
    <n v="25.9"/>
    <x v="2"/>
    <x v="1"/>
    <x v="1"/>
  </r>
  <r>
    <s v="KYG-28296-920"/>
    <x v="84"/>
    <s v="78050-20355-DI"/>
    <s v="E-M-2.5"/>
    <n v="1"/>
    <s v="Granger Smallcombe"/>
    <s v="gsmallcombed6@ucla.edu"/>
    <s v="Ireland"/>
    <s v="Exc"/>
    <s v="M"/>
    <x v="2"/>
    <n v="31.624999999999996"/>
    <n v="31.624999999999996"/>
    <x v="1"/>
    <x v="0"/>
    <x v="0"/>
  </r>
  <r>
    <s v="NNB-20459-430"/>
    <x v="384"/>
    <s v="79825-17822-UH"/>
    <s v="L-M-0.2"/>
    <n v="2"/>
    <s v="Daryn Dibley"/>
    <s v="ddibleyd7@feedburner.com"/>
    <s v="United States"/>
    <s v="Lib"/>
    <s v="M"/>
    <x v="3"/>
    <n v="4.3650000000000002"/>
    <n v="8.73"/>
    <x v="3"/>
    <x v="0"/>
    <x v="1"/>
  </r>
  <r>
    <s v="FEK-14025-351"/>
    <x v="385"/>
    <s v="03990-21586-MQ"/>
    <s v="E-L-0.2"/>
    <n v="6"/>
    <s v="Gardy Dimitriou"/>
    <s v="gdimitrioud8@chronoengine.com"/>
    <s v="United States"/>
    <s v="Exc"/>
    <s v="L"/>
    <x v="3"/>
    <n v="4.4550000000000001"/>
    <n v="26.73"/>
    <x v="1"/>
    <x v="1"/>
    <x v="0"/>
  </r>
  <r>
    <s v="AWH-16980-469"/>
    <x v="386"/>
    <s v="27493-46921-TZ"/>
    <s v="L-M-0.2"/>
    <n v="6"/>
    <s v="Fanny Flanagan"/>
    <s v="fflanagand9@woothemes.com"/>
    <s v="United States"/>
    <s v="Lib"/>
    <s v="M"/>
    <x v="3"/>
    <n v="4.3650000000000002"/>
    <n v="26.19"/>
    <x v="3"/>
    <x v="0"/>
    <x v="1"/>
  </r>
  <r>
    <s v="ZPW-31329-741"/>
    <x v="387"/>
    <s v="27132-68907-RC"/>
    <s v="R-D-1"/>
    <n v="6"/>
    <s v="Ailey Brash"/>
    <s v="abrashda@plala.or.jp"/>
    <s v="United States"/>
    <s v="Rob"/>
    <s v="D"/>
    <x v="0"/>
    <n v="8.9499999999999993"/>
    <n v="53.699999999999996"/>
    <x v="0"/>
    <x v="2"/>
    <x v="0"/>
  </r>
  <r>
    <s v="ZPW-31329-741"/>
    <x v="387"/>
    <s v="27132-68907-RC"/>
    <s v="E-M-2.5"/>
    <n v="4"/>
    <s v="Ailey Brash"/>
    <s v="abrashda@plala.or.jp"/>
    <s v="United States"/>
    <s v="Exc"/>
    <s v="M"/>
    <x v="2"/>
    <n v="31.624999999999996"/>
    <n v="126.49999999999999"/>
    <x v="1"/>
    <x v="0"/>
    <x v="0"/>
  </r>
  <r>
    <s v="ZPW-31329-741"/>
    <x v="387"/>
    <s v="27132-68907-RC"/>
    <s v="E-M-0.2"/>
    <n v="1"/>
    <s v="Ailey Brash"/>
    <s v="abrashda@plala.or.jp"/>
    <s v="United States"/>
    <s v="Exc"/>
    <s v="M"/>
    <x v="3"/>
    <n v="4.125"/>
    <n v="4.125"/>
    <x v="1"/>
    <x v="0"/>
    <x v="0"/>
  </r>
  <r>
    <s v="UBI-83843-396"/>
    <x v="388"/>
    <s v="58816-74064-TF"/>
    <s v="R-L-1"/>
    <n v="2"/>
    <s v="Nanny Izhakov"/>
    <s v="nizhakovdd@aol.com"/>
    <s v="United Kingdom"/>
    <s v="Rob"/>
    <s v="L"/>
    <x v="0"/>
    <n v="11.95"/>
    <n v="23.9"/>
    <x v="0"/>
    <x v="1"/>
    <x v="1"/>
  </r>
  <r>
    <s v="VID-40587-569"/>
    <x v="389"/>
    <s v="09818-59895-EH"/>
    <s v="E-D-2.5"/>
    <n v="5"/>
    <s v="Stanly Keets"/>
    <s v="skeetsde@answers.com"/>
    <s v="United States"/>
    <s v="Exc"/>
    <s v="D"/>
    <x v="2"/>
    <n v="27.945"/>
    <n v="139.72499999999999"/>
    <x v="1"/>
    <x v="2"/>
    <x v="0"/>
  </r>
  <r>
    <s v="KBB-52530-416"/>
    <x v="229"/>
    <s v="06488-46303-IZ"/>
    <s v="L-D-2.5"/>
    <n v="2"/>
    <s v="Orion Dyott"/>
    <n v="0"/>
    <s v="United States"/>
    <s v="Lib"/>
    <s v="D"/>
    <x v="2"/>
    <n v="29.784999999999997"/>
    <n v="59.569999999999993"/>
    <x v="3"/>
    <x v="2"/>
    <x v="0"/>
  </r>
  <r>
    <s v="ISJ-48676-420"/>
    <x v="390"/>
    <s v="93046-67561-AY"/>
    <s v="L-L-0.5"/>
    <n v="6"/>
    <s v="Keefer Cake"/>
    <s v="kcakedg@huffingtonpost.com"/>
    <s v="United States"/>
    <s v="Lib"/>
    <s v="L"/>
    <x v="1"/>
    <n v="9.51"/>
    <n v="57.06"/>
    <x v="3"/>
    <x v="1"/>
    <x v="1"/>
  </r>
  <r>
    <s v="MIF-17920-768"/>
    <x v="391"/>
    <s v="68946-40750-LK"/>
    <s v="R-L-0.2"/>
    <n v="6"/>
    <s v="Morna Hansed"/>
    <s v="mhanseddh@instagram.com"/>
    <s v="Ireland"/>
    <s v="Rob"/>
    <s v="L"/>
    <x v="3"/>
    <n v="3.5849999999999995"/>
    <n v="21.509999999999998"/>
    <x v="0"/>
    <x v="1"/>
    <x v="0"/>
  </r>
  <r>
    <s v="CPX-19312-088"/>
    <x v="117"/>
    <s v="38387-64959-WW"/>
    <s v="L-M-0.5"/>
    <n v="6"/>
    <s v="Franny Kienlein"/>
    <s v="fkienleindi@trellian.com"/>
    <s v="Ireland"/>
    <s v="Lib"/>
    <s v="M"/>
    <x v="1"/>
    <n v="8.73"/>
    <n v="52.38"/>
    <x v="3"/>
    <x v="0"/>
    <x v="0"/>
  </r>
  <r>
    <s v="RXI-67978-260"/>
    <x v="392"/>
    <s v="48418-60841-CC"/>
    <s v="E-D-1"/>
    <n v="6"/>
    <s v="Klarika Egglestone"/>
    <s v="kegglestonedj@sphinn.com"/>
    <s v="Ireland"/>
    <s v="Exc"/>
    <s v="D"/>
    <x v="0"/>
    <n v="12.15"/>
    <n v="72.900000000000006"/>
    <x v="1"/>
    <x v="2"/>
    <x v="1"/>
  </r>
  <r>
    <s v="LKE-14821-285"/>
    <x v="393"/>
    <s v="13736-92418-JS"/>
    <s v="R-M-0.2"/>
    <n v="5"/>
    <s v="Becky Semkins"/>
    <s v="bsemkinsdk@unc.edu"/>
    <s v="Ireland"/>
    <s v="Rob"/>
    <s v="M"/>
    <x v="3"/>
    <n v="2.9849999999999999"/>
    <n v="14.924999999999999"/>
    <x v="0"/>
    <x v="0"/>
    <x v="0"/>
  </r>
  <r>
    <s v="LRK-97117-150"/>
    <x v="394"/>
    <s v="33000-22405-LO"/>
    <s v="L-L-1"/>
    <n v="6"/>
    <s v="Sean Lorenzetti"/>
    <s v="slorenzettidl@is.gd"/>
    <s v="United States"/>
    <s v="Lib"/>
    <s v="L"/>
    <x v="0"/>
    <n v="15.85"/>
    <n v="95.1"/>
    <x v="3"/>
    <x v="1"/>
    <x v="1"/>
  </r>
  <r>
    <s v="IGK-51227-573"/>
    <x v="137"/>
    <s v="46959-60474-LT"/>
    <s v="L-D-0.5"/>
    <n v="2"/>
    <s v="Bob Giannazzi"/>
    <s v="bgiannazzidm@apple.com"/>
    <s v="United States"/>
    <s v="Lib"/>
    <s v="D"/>
    <x v="1"/>
    <n v="7.77"/>
    <n v="15.54"/>
    <x v="3"/>
    <x v="2"/>
    <x v="1"/>
  </r>
  <r>
    <s v="ZAY-43009-775"/>
    <x v="395"/>
    <s v="73431-39823-UP"/>
    <s v="L-D-0.2"/>
    <n v="6"/>
    <s v="Kendra Backshell"/>
    <n v="0"/>
    <s v="United States"/>
    <s v="Lib"/>
    <s v="D"/>
    <x v="3"/>
    <n v="3.8849999999999998"/>
    <n v="23.31"/>
    <x v="3"/>
    <x v="2"/>
    <x v="1"/>
  </r>
  <r>
    <s v="EMA-63190-618"/>
    <x v="396"/>
    <s v="90993-98984-JK"/>
    <s v="E-M-0.2"/>
    <n v="1"/>
    <s v="Uriah Lethbrig"/>
    <s v="ulethbrigdo@hc360.com"/>
    <s v="United States"/>
    <s v="Exc"/>
    <s v="M"/>
    <x v="3"/>
    <n v="4.125"/>
    <n v="4.125"/>
    <x v="1"/>
    <x v="0"/>
    <x v="0"/>
  </r>
  <r>
    <s v="FBI-35855-418"/>
    <x v="189"/>
    <s v="06552-04430-AG"/>
    <s v="R-M-0.5"/>
    <n v="6"/>
    <s v="Sky Farnish"/>
    <s v="sfarnishdp@dmoz.org"/>
    <s v="United Kingdom"/>
    <s v="Rob"/>
    <s v="M"/>
    <x v="1"/>
    <n v="5.97"/>
    <n v="35.82"/>
    <x v="0"/>
    <x v="0"/>
    <x v="1"/>
  </r>
  <r>
    <s v="TXB-80533-417"/>
    <x v="8"/>
    <s v="54597-57004-QM"/>
    <s v="L-L-1"/>
    <n v="2"/>
    <s v="Felicia Jecock"/>
    <s v="fjecockdq@unicef.org"/>
    <s v="United States"/>
    <s v="Lib"/>
    <s v="L"/>
    <x v="0"/>
    <n v="15.85"/>
    <n v="31.7"/>
    <x v="3"/>
    <x v="1"/>
    <x v="1"/>
  </r>
  <r>
    <s v="MBM-00112-248"/>
    <x v="397"/>
    <s v="50238-24377-ZS"/>
    <s v="L-L-1"/>
    <n v="5"/>
    <s v="Currey MacAllister"/>
    <n v="0"/>
    <s v="United States"/>
    <s v="Lib"/>
    <s v="L"/>
    <x v="0"/>
    <n v="15.85"/>
    <n v="79.25"/>
    <x v="3"/>
    <x v="1"/>
    <x v="0"/>
  </r>
  <r>
    <s v="EUO-69145-988"/>
    <x v="398"/>
    <s v="60370-41934-IF"/>
    <s v="E-D-0.2"/>
    <n v="3"/>
    <s v="Hamlen Pallister"/>
    <s v="hpallisterds@ning.com"/>
    <s v="United States"/>
    <s v="Exc"/>
    <s v="D"/>
    <x v="3"/>
    <n v="3.645"/>
    <n v="10.935"/>
    <x v="1"/>
    <x v="2"/>
    <x v="1"/>
  </r>
  <r>
    <s v="GYA-80327-368"/>
    <x v="399"/>
    <s v="06899-54551-EH"/>
    <s v="A-D-1"/>
    <n v="4"/>
    <s v="Chantal Mersh"/>
    <s v="cmershdt@drupal.org"/>
    <s v="Ireland"/>
    <s v="Ara"/>
    <s v="D"/>
    <x v="0"/>
    <n v="9.9499999999999993"/>
    <n v="39.799999999999997"/>
    <x v="2"/>
    <x v="2"/>
    <x v="1"/>
  </r>
  <r>
    <s v="TNW-41601-420"/>
    <x v="400"/>
    <s v="66458-91190-YC"/>
    <s v="R-M-1"/>
    <n v="5"/>
    <s v="Marja Urion"/>
    <s v="murione5@alexa.com"/>
    <s v="Ireland"/>
    <s v="Rob"/>
    <s v="M"/>
    <x v="0"/>
    <n v="9.9499999999999993"/>
    <n v="49.75"/>
    <x v="0"/>
    <x v="0"/>
    <x v="0"/>
  </r>
  <r>
    <s v="ALR-62963-723"/>
    <x v="401"/>
    <s v="80463-43913-WZ"/>
    <s v="R-D-0.2"/>
    <n v="3"/>
    <s v="Malynda Purbrick"/>
    <n v="0"/>
    <s v="Ireland"/>
    <s v="Rob"/>
    <s v="D"/>
    <x v="3"/>
    <n v="2.6849999999999996"/>
    <n v="8.0549999999999997"/>
    <x v="0"/>
    <x v="2"/>
    <x v="0"/>
  </r>
  <r>
    <s v="JIG-27636-870"/>
    <x v="402"/>
    <s v="67204-04870-LG"/>
    <s v="R-L-1"/>
    <n v="4"/>
    <s v="Alf Housaman"/>
    <n v="0"/>
    <s v="United States"/>
    <s v="Rob"/>
    <s v="L"/>
    <x v="0"/>
    <n v="11.95"/>
    <n v="47.8"/>
    <x v="0"/>
    <x v="1"/>
    <x v="1"/>
  </r>
  <r>
    <s v="CTE-31437-326"/>
    <x v="6"/>
    <s v="22721-63196-UJ"/>
    <s v="R-M-0.2"/>
    <n v="4"/>
    <s v="Gladi Ducker"/>
    <s v="gduckerdx@patch.com"/>
    <s v="United Kingdom"/>
    <s v="Rob"/>
    <s v="M"/>
    <x v="3"/>
    <n v="2.9849999999999999"/>
    <n v="11.94"/>
    <x v="0"/>
    <x v="0"/>
    <x v="1"/>
  </r>
  <r>
    <s v="CTE-31437-326"/>
    <x v="6"/>
    <s v="22721-63196-UJ"/>
    <s v="E-M-0.2"/>
    <n v="4"/>
    <s v="Gladi Ducker"/>
    <s v="gduckerdx@patch.com"/>
    <s v="United Kingdom"/>
    <s v="Exc"/>
    <s v="M"/>
    <x v="3"/>
    <n v="4.125"/>
    <n v="16.5"/>
    <x v="1"/>
    <x v="0"/>
    <x v="1"/>
  </r>
  <r>
    <s v="CTE-31437-326"/>
    <x v="6"/>
    <s v="22721-63196-UJ"/>
    <s v="L-D-1"/>
    <n v="4"/>
    <s v="Gladi Ducker"/>
    <s v="gduckerdx@patch.com"/>
    <s v="United Kingdom"/>
    <s v="Lib"/>
    <s v="D"/>
    <x v="0"/>
    <n v="12.95"/>
    <n v="51.8"/>
    <x v="3"/>
    <x v="2"/>
    <x v="1"/>
  </r>
  <r>
    <s v="CTE-31437-326"/>
    <x v="6"/>
    <s v="22721-63196-UJ"/>
    <s v="L-L-0.2"/>
    <n v="3"/>
    <s v="Gladi Ducker"/>
    <s v="gduckerdx@patch.com"/>
    <s v="United Kingdom"/>
    <s v="Lib"/>
    <s v="L"/>
    <x v="3"/>
    <n v="4.7549999999999999"/>
    <n v="14.265000000000001"/>
    <x v="3"/>
    <x v="1"/>
    <x v="1"/>
  </r>
  <r>
    <s v="SLD-63003-334"/>
    <x v="403"/>
    <s v="55515-37571-RS"/>
    <s v="L-M-0.2"/>
    <n v="6"/>
    <s v="Wain Stearley"/>
    <s v="wstearleye1@census.gov"/>
    <s v="United States"/>
    <s v="Lib"/>
    <s v="M"/>
    <x v="3"/>
    <n v="4.3650000000000002"/>
    <n v="26.19"/>
    <x v="3"/>
    <x v="0"/>
    <x v="1"/>
  </r>
  <r>
    <s v="BXN-64230-789"/>
    <x v="404"/>
    <s v="25598-77476-CB"/>
    <s v="A-L-1"/>
    <n v="2"/>
    <s v="Diane-marie Wincer"/>
    <s v="dwincere2@marriott.com"/>
    <s v="United States"/>
    <s v="Ara"/>
    <s v="L"/>
    <x v="0"/>
    <n v="12.95"/>
    <n v="25.9"/>
    <x v="2"/>
    <x v="1"/>
    <x v="0"/>
  </r>
  <r>
    <s v="XEE-37895-169"/>
    <x v="21"/>
    <s v="14888-85625-TM"/>
    <s v="A-L-2.5"/>
    <n v="3"/>
    <s v="Perry Lyfield"/>
    <s v="plyfielde3@baidu.com"/>
    <s v="United States"/>
    <s v="Ara"/>
    <s v="L"/>
    <x v="2"/>
    <n v="29.784999999999997"/>
    <n v="89.35499999999999"/>
    <x v="2"/>
    <x v="1"/>
    <x v="0"/>
  </r>
  <r>
    <s v="ZTX-80764-911"/>
    <x v="239"/>
    <s v="92793-68332-NR"/>
    <s v="L-D-0.5"/>
    <n v="6"/>
    <s v="Heall Perris"/>
    <s v="hperrise4@studiopress.com"/>
    <s v="Ireland"/>
    <s v="Lib"/>
    <s v="D"/>
    <x v="1"/>
    <n v="7.77"/>
    <n v="46.62"/>
    <x v="3"/>
    <x v="2"/>
    <x v="1"/>
  </r>
  <r>
    <s v="WVT-88135-549"/>
    <x v="405"/>
    <s v="66458-91190-YC"/>
    <s v="A-D-1"/>
    <n v="3"/>
    <s v="Marja Urion"/>
    <s v="murione5@alexa.com"/>
    <s v="Ireland"/>
    <s v="Ara"/>
    <s v="D"/>
    <x v="0"/>
    <n v="9.9499999999999993"/>
    <n v="29.849999999999998"/>
    <x v="2"/>
    <x v="2"/>
    <x v="0"/>
  </r>
  <r>
    <s v="IPA-94170-889"/>
    <x v="292"/>
    <s v="64439-27325-LG"/>
    <s v="R-L-0.2"/>
    <n v="3"/>
    <s v="Camellia Kid"/>
    <s v="ckide6@narod.ru"/>
    <s v="Ireland"/>
    <s v="Rob"/>
    <s v="L"/>
    <x v="3"/>
    <n v="3.5849999999999995"/>
    <n v="10.754999999999999"/>
    <x v="0"/>
    <x v="1"/>
    <x v="0"/>
  </r>
  <r>
    <s v="YQL-63755-365"/>
    <x v="117"/>
    <s v="78570-76770-LB"/>
    <s v="A-M-0.2"/>
    <n v="4"/>
    <s v="Carolann Beine"/>
    <s v="cbeinee7@xinhuanet.com"/>
    <s v="United States"/>
    <s v="Ara"/>
    <s v="M"/>
    <x v="3"/>
    <n v="3.375"/>
    <n v="13.5"/>
    <x v="2"/>
    <x v="0"/>
    <x v="0"/>
  </r>
  <r>
    <s v="RKW-81145-984"/>
    <x v="406"/>
    <s v="98661-69719-VI"/>
    <s v="L-L-1"/>
    <n v="3"/>
    <s v="Celia Bakeup"/>
    <s v="cbakeupe8@globo.com"/>
    <s v="United States"/>
    <s v="Lib"/>
    <s v="L"/>
    <x v="0"/>
    <n v="15.85"/>
    <n v="47.55"/>
    <x v="3"/>
    <x v="1"/>
    <x v="1"/>
  </r>
  <r>
    <s v="MBT-23379-866"/>
    <x v="407"/>
    <s v="82990-92703-IX"/>
    <s v="L-L-1"/>
    <n v="5"/>
    <s v="Nataniel Helkin"/>
    <s v="nhelkine9@example.com"/>
    <s v="United States"/>
    <s v="Lib"/>
    <s v="L"/>
    <x v="0"/>
    <n v="15.85"/>
    <n v="79.25"/>
    <x v="3"/>
    <x v="1"/>
    <x v="1"/>
  </r>
  <r>
    <s v="GEJ-39834-935"/>
    <x v="408"/>
    <s v="49412-86877-VY"/>
    <s v="L-M-0.2"/>
    <n v="6"/>
    <s v="Pippo Witherington"/>
    <s v="pwitheringtonea@networkadvertising.org"/>
    <s v="United States"/>
    <s v="Lib"/>
    <s v="M"/>
    <x v="3"/>
    <n v="4.3650000000000002"/>
    <n v="26.19"/>
    <x v="3"/>
    <x v="0"/>
    <x v="0"/>
  </r>
  <r>
    <s v="KRW-91640-596"/>
    <x v="409"/>
    <s v="70879-00984-FJ"/>
    <s v="R-L-0.5"/>
    <n v="3"/>
    <s v="Tildie Tilzey"/>
    <s v="ttilzeyeb@hostgator.com"/>
    <s v="United States"/>
    <s v="Rob"/>
    <s v="L"/>
    <x v="1"/>
    <n v="7.169999999999999"/>
    <n v="21.509999999999998"/>
    <x v="0"/>
    <x v="1"/>
    <x v="1"/>
  </r>
  <r>
    <s v="AOT-70449-651"/>
    <x v="410"/>
    <s v="53414-73391-CR"/>
    <s v="R-D-2.5"/>
    <n v="5"/>
    <s v="Cindra Burling"/>
    <n v="0"/>
    <s v="United States"/>
    <s v="Rob"/>
    <s v="D"/>
    <x v="2"/>
    <n v="20.584999999999997"/>
    <n v="102.92499999999998"/>
    <x v="0"/>
    <x v="2"/>
    <x v="0"/>
  </r>
  <r>
    <s v="DGC-21813-731"/>
    <x v="127"/>
    <s v="43606-83072-OA"/>
    <s v="L-D-0.2"/>
    <n v="2"/>
    <s v="Channa Belamy"/>
    <n v="0"/>
    <s v="United States"/>
    <s v="Lib"/>
    <s v="D"/>
    <x v="3"/>
    <n v="3.8849999999999998"/>
    <n v="7.77"/>
    <x v="3"/>
    <x v="2"/>
    <x v="1"/>
  </r>
  <r>
    <s v="JBE-92943-643"/>
    <x v="411"/>
    <s v="84466-22864-CE"/>
    <s v="E-D-2.5"/>
    <n v="5"/>
    <s v="Karl Imorts"/>
    <s v="kimortsee@alexa.com"/>
    <s v="United States"/>
    <s v="Exc"/>
    <s v="D"/>
    <x v="2"/>
    <n v="27.945"/>
    <n v="139.72499999999999"/>
    <x v="1"/>
    <x v="2"/>
    <x v="1"/>
  </r>
  <r>
    <s v="ZIL-34948-499"/>
    <x v="112"/>
    <s v="66458-91190-YC"/>
    <s v="A-D-0.5"/>
    <n v="2"/>
    <s v="Marja Urion"/>
    <s v="murione5@alexa.com"/>
    <s v="Ireland"/>
    <s v="Ara"/>
    <s v="D"/>
    <x v="1"/>
    <n v="5.97"/>
    <n v="11.94"/>
    <x v="2"/>
    <x v="2"/>
    <x v="0"/>
  </r>
  <r>
    <s v="JSU-23781-256"/>
    <x v="412"/>
    <s v="76499-89100-JQ"/>
    <s v="L-D-0.2"/>
    <n v="1"/>
    <s v="Mag Armistead"/>
    <s v="marmisteadeg@blogtalkradio.com"/>
    <s v="United States"/>
    <s v="Lib"/>
    <s v="D"/>
    <x v="3"/>
    <n v="3.8849999999999998"/>
    <n v="3.8849999999999998"/>
    <x v="3"/>
    <x v="2"/>
    <x v="1"/>
  </r>
  <r>
    <s v="JSU-23781-256"/>
    <x v="412"/>
    <s v="76499-89100-JQ"/>
    <s v="R-M-1"/>
    <n v="4"/>
    <s v="Mag Armistead"/>
    <s v="marmisteadeg@blogtalkradio.com"/>
    <s v="United States"/>
    <s v="Rob"/>
    <s v="M"/>
    <x v="0"/>
    <n v="9.9499999999999993"/>
    <n v="39.799999999999997"/>
    <x v="0"/>
    <x v="0"/>
    <x v="1"/>
  </r>
  <r>
    <s v="VPX-44956-367"/>
    <x v="413"/>
    <s v="39582-35773-ZJ"/>
    <s v="R-M-0.5"/>
    <n v="5"/>
    <s v="Vasili Upstone"/>
    <s v="vupstoneei@google.pl"/>
    <s v="United States"/>
    <s v="Rob"/>
    <s v="M"/>
    <x v="1"/>
    <n v="5.97"/>
    <n v="29.849999999999998"/>
    <x v="0"/>
    <x v="0"/>
    <x v="1"/>
  </r>
  <r>
    <s v="VTB-46451-959"/>
    <x v="414"/>
    <s v="66240-46962-IO"/>
    <s v="L-D-2.5"/>
    <n v="1"/>
    <s v="Berty Beelby"/>
    <s v="bbeelbyej@rediff.com"/>
    <s v="Ireland"/>
    <s v="Lib"/>
    <s v="D"/>
    <x v="2"/>
    <n v="29.784999999999997"/>
    <n v="29.784999999999997"/>
    <x v="3"/>
    <x v="2"/>
    <x v="1"/>
  </r>
  <r>
    <s v="DNZ-11665-950"/>
    <x v="415"/>
    <s v="10637-45522-ID"/>
    <s v="L-L-2.5"/>
    <n v="2"/>
    <s v="Erny Stenyng"/>
    <n v="0"/>
    <s v="United States"/>
    <s v="Lib"/>
    <s v="L"/>
    <x v="2"/>
    <n v="36.454999999999998"/>
    <n v="72.91"/>
    <x v="3"/>
    <x v="1"/>
    <x v="1"/>
  </r>
  <r>
    <s v="ITR-54735-364"/>
    <x v="416"/>
    <s v="92599-58687-CS"/>
    <s v="R-D-0.2"/>
    <n v="5"/>
    <s v="Edin Yantsurev"/>
    <n v="0"/>
    <s v="United States"/>
    <s v="Rob"/>
    <s v="D"/>
    <x v="3"/>
    <n v="2.6849999999999996"/>
    <n v="13.424999999999997"/>
    <x v="0"/>
    <x v="2"/>
    <x v="0"/>
  </r>
  <r>
    <s v="YDS-02797-307"/>
    <x v="417"/>
    <s v="06058-48844-PI"/>
    <s v="E-M-2.5"/>
    <n v="4"/>
    <s v="Webb Speechly"/>
    <s v="wspeechlyem@amazon.com"/>
    <s v="United States"/>
    <s v="Exc"/>
    <s v="M"/>
    <x v="2"/>
    <n v="31.624999999999996"/>
    <n v="126.49999999999999"/>
    <x v="1"/>
    <x v="0"/>
    <x v="0"/>
  </r>
  <r>
    <s v="BPG-68988-842"/>
    <x v="418"/>
    <s v="53631-24432-SY"/>
    <s v="E-M-0.5"/>
    <n v="5"/>
    <s v="Irvine Phillpot"/>
    <s v="iphillpoten@buzzfeed.com"/>
    <s v="United Kingdom"/>
    <s v="Exc"/>
    <s v="M"/>
    <x v="1"/>
    <n v="8.25"/>
    <n v="41.25"/>
    <x v="1"/>
    <x v="0"/>
    <x v="1"/>
  </r>
  <r>
    <s v="XZG-51938-658"/>
    <x v="419"/>
    <s v="18275-73980-KL"/>
    <s v="E-L-0.5"/>
    <n v="6"/>
    <s v="Lem Pennacci"/>
    <s v="lpennaccieo@statcounter.com"/>
    <s v="United States"/>
    <s v="Exc"/>
    <s v="L"/>
    <x v="1"/>
    <n v="8.91"/>
    <n v="53.46"/>
    <x v="1"/>
    <x v="1"/>
    <x v="1"/>
  </r>
  <r>
    <s v="KAR-24978-271"/>
    <x v="420"/>
    <s v="23187-65750-HZ"/>
    <s v="R-M-1"/>
    <n v="6"/>
    <s v="Starr Arpin"/>
    <s v="sarpinep@moonfruit.com"/>
    <s v="United States"/>
    <s v="Rob"/>
    <s v="M"/>
    <x v="0"/>
    <n v="9.9499999999999993"/>
    <n v="59.699999999999996"/>
    <x v="0"/>
    <x v="0"/>
    <x v="1"/>
  </r>
  <r>
    <s v="FQK-28730-361"/>
    <x v="421"/>
    <s v="22725-79522-GP"/>
    <s v="R-M-1"/>
    <n v="6"/>
    <s v="Donny Fries"/>
    <s v="dfrieseq@cargocollective.com"/>
    <s v="United States"/>
    <s v="Rob"/>
    <s v="M"/>
    <x v="0"/>
    <n v="9.9499999999999993"/>
    <n v="59.699999999999996"/>
    <x v="0"/>
    <x v="0"/>
    <x v="1"/>
  </r>
  <r>
    <s v="BGB-67996-089"/>
    <x v="422"/>
    <s v="06279-72603-JE"/>
    <s v="R-D-1"/>
    <n v="5"/>
    <s v="Rana Sharer"/>
    <s v="rsharerer@flavors.me"/>
    <s v="United States"/>
    <s v="Rob"/>
    <s v="D"/>
    <x v="0"/>
    <n v="8.9499999999999993"/>
    <n v="44.75"/>
    <x v="0"/>
    <x v="2"/>
    <x v="1"/>
  </r>
  <r>
    <s v="XMC-20620-809"/>
    <x v="423"/>
    <s v="83543-79246-ON"/>
    <s v="E-M-0.5"/>
    <n v="2"/>
    <s v="Nannie Naseby"/>
    <s v="nnasebyes@umich.edu"/>
    <s v="United States"/>
    <s v="Exc"/>
    <s v="M"/>
    <x v="1"/>
    <n v="8.25"/>
    <n v="16.5"/>
    <x v="1"/>
    <x v="0"/>
    <x v="0"/>
  </r>
  <r>
    <s v="ZSO-58292-191"/>
    <x v="109"/>
    <s v="66794-66795-VW"/>
    <s v="R-D-0.5"/>
    <n v="4"/>
    <s v="Rea Offell"/>
    <n v="0"/>
    <s v="United States"/>
    <s v="Rob"/>
    <s v="D"/>
    <x v="1"/>
    <n v="5.3699999999999992"/>
    <n v="21.479999999999997"/>
    <x v="0"/>
    <x v="2"/>
    <x v="1"/>
  </r>
  <r>
    <s v="LWJ-06793-303"/>
    <x v="204"/>
    <s v="95424-67020-AP"/>
    <s v="R-M-2.5"/>
    <n v="2"/>
    <s v="Kris O'Cullen"/>
    <s v="koculleneu@ca.gov"/>
    <s v="Ireland"/>
    <s v="Rob"/>
    <s v="M"/>
    <x v="2"/>
    <n v="22.884999999999998"/>
    <n v="45.769999999999996"/>
    <x v="0"/>
    <x v="0"/>
    <x v="0"/>
  </r>
  <r>
    <s v="FLM-82229-989"/>
    <x v="424"/>
    <s v="73017-69644-MS"/>
    <s v="L-L-0.2"/>
    <n v="2"/>
    <s v="Timoteo Glisane"/>
    <n v="0"/>
    <s v="Ireland"/>
    <s v="Lib"/>
    <s v="L"/>
    <x v="3"/>
    <n v="4.7549999999999999"/>
    <n v="9.51"/>
    <x v="3"/>
    <x v="1"/>
    <x v="1"/>
  </r>
  <r>
    <s v="CPV-90280-133"/>
    <x v="13"/>
    <s v="66458-91190-YC"/>
    <s v="R-D-0.2"/>
    <n v="3"/>
    <s v="Marja Urion"/>
    <s v="murione5@alexa.com"/>
    <s v="Ireland"/>
    <s v="Rob"/>
    <s v="D"/>
    <x v="3"/>
    <n v="2.6849999999999996"/>
    <n v="8.0549999999999997"/>
    <x v="0"/>
    <x v="2"/>
    <x v="0"/>
  </r>
  <r>
    <s v="OGW-60685-912"/>
    <x v="224"/>
    <s v="67423-10113-LM"/>
    <s v="E-D-2.5"/>
    <n v="4"/>
    <s v="Hildegarde Brangan"/>
    <s v="hbranganex@woothemes.com"/>
    <s v="United States"/>
    <s v="Exc"/>
    <s v="D"/>
    <x v="2"/>
    <n v="27.945"/>
    <n v="111.78"/>
    <x v="1"/>
    <x v="2"/>
    <x v="0"/>
  </r>
  <r>
    <s v="DEC-11160-362"/>
    <x v="220"/>
    <s v="48582-05061-RY"/>
    <s v="R-D-0.2"/>
    <n v="4"/>
    <s v="Amii Gallyon"/>
    <s v="agallyoney@engadget.com"/>
    <s v="United States"/>
    <s v="Rob"/>
    <s v="D"/>
    <x v="3"/>
    <n v="2.6849999999999996"/>
    <n v="10.739999999999998"/>
    <x v="0"/>
    <x v="2"/>
    <x v="0"/>
  </r>
  <r>
    <s v="WCT-07869-499"/>
    <x v="91"/>
    <s v="32031-49093-KE"/>
    <s v="R-D-0.5"/>
    <n v="5"/>
    <s v="Birgit Domange"/>
    <s v="bdomangeez@yahoo.co.jp"/>
    <s v="United States"/>
    <s v="Rob"/>
    <s v="D"/>
    <x v="1"/>
    <n v="5.3699999999999992"/>
    <n v="26.849999999999994"/>
    <x v="0"/>
    <x v="2"/>
    <x v="1"/>
  </r>
  <r>
    <s v="FHD-89872-325"/>
    <x v="425"/>
    <s v="31715-98714-OO"/>
    <s v="L-L-1"/>
    <n v="4"/>
    <s v="Killian Osler"/>
    <s v="koslerf0@gmpg.org"/>
    <s v="United States"/>
    <s v="Lib"/>
    <s v="L"/>
    <x v="0"/>
    <n v="15.85"/>
    <n v="63.4"/>
    <x v="3"/>
    <x v="1"/>
    <x v="0"/>
  </r>
  <r>
    <s v="AZF-45991-584"/>
    <x v="426"/>
    <s v="73759-17258-KA"/>
    <s v="A-D-2.5"/>
    <n v="1"/>
    <s v="Lora Dukes"/>
    <n v="0"/>
    <s v="Ireland"/>
    <s v="Ara"/>
    <s v="D"/>
    <x v="2"/>
    <n v="22.884999999999998"/>
    <n v="22.884999999999998"/>
    <x v="2"/>
    <x v="2"/>
    <x v="0"/>
  </r>
  <r>
    <s v="MDG-14481-513"/>
    <x v="427"/>
    <s v="64897-79178-MH"/>
    <s v="A-M-2.5"/>
    <n v="4"/>
    <s v="Zack Pellett"/>
    <s v="zpellettf2@dailymotion.com"/>
    <s v="United States"/>
    <s v="Ara"/>
    <s v="M"/>
    <x v="2"/>
    <n v="25.874999999999996"/>
    <n v="103.49999999999999"/>
    <x v="2"/>
    <x v="0"/>
    <x v="1"/>
  </r>
  <r>
    <s v="OFN-49424-848"/>
    <x v="428"/>
    <s v="73346-85564-JB"/>
    <s v="R-L-2.5"/>
    <n v="2"/>
    <s v="Ilaire Sprakes"/>
    <s v="isprakesf3@spiegel.de"/>
    <s v="United States"/>
    <s v="Rob"/>
    <s v="L"/>
    <x v="2"/>
    <n v="27.484999999999996"/>
    <n v="54.969999999999992"/>
    <x v="0"/>
    <x v="1"/>
    <x v="1"/>
  </r>
  <r>
    <s v="NFA-03411-746"/>
    <x v="383"/>
    <s v="07476-13102-NJ"/>
    <s v="A-L-0.5"/>
    <n v="2"/>
    <s v="Heda Fromant"/>
    <s v="hfromantf4@ucsd.edu"/>
    <s v="United States"/>
    <s v="Ara"/>
    <s v="L"/>
    <x v="1"/>
    <n v="7.77"/>
    <n v="15.54"/>
    <x v="2"/>
    <x v="1"/>
    <x v="1"/>
  </r>
  <r>
    <s v="CYM-74988-450"/>
    <x v="156"/>
    <s v="87223-37422-SK"/>
    <s v="L-D-0.2"/>
    <n v="4"/>
    <s v="Rufus Flear"/>
    <s v="rflearf5@artisteer.com"/>
    <s v="United Kingdom"/>
    <s v="Lib"/>
    <s v="D"/>
    <x v="3"/>
    <n v="3.8849999999999998"/>
    <n v="15.54"/>
    <x v="3"/>
    <x v="2"/>
    <x v="1"/>
  </r>
  <r>
    <s v="WTV-24996-658"/>
    <x v="429"/>
    <s v="57837-15577-YK"/>
    <s v="E-D-2.5"/>
    <n v="3"/>
    <s v="Dom Milella"/>
    <n v="0"/>
    <s v="Ireland"/>
    <s v="Exc"/>
    <s v="D"/>
    <x v="2"/>
    <n v="27.945"/>
    <n v="83.835000000000008"/>
    <x v="1"/>
    <x v="2"/>
    <x v="1"/>
  </r>
  <r>
    <s v="DSL-69915-544"/>
    <x v="103"/>
    <s v="10142-55267-YO"/>
    <s v="R-L-0.2"/>
    <n v="3"/>
    <s v="Wilek Lightollers"/>
    <s v="wlightollersf9@baidu.com"/>
    <s v="United States"/>
    <s v="Rob"/>
    <s v="L"/>
    <x v="3"/>
    <n v="3.5849999999999995"/>
    <n v="10.754999999999999"/>
    <x v="0"/>
    <x v="1"/>
    <x v="0"/>
  </r>
  <r>
    <s v="NBT-35757-542"/>
    <x v="361"/>
    <s v="73647-66148-VM"/>
    <s v="E-L-0.2"/>
    <n v="3"/>
    <s v="Bette-ann Munden"/>
    <s v="bmundenf8@elpais.com"/>
    <s v="United States"/>
    <s v="Exc"/>
    <s v="L"/>
    <x v="3"/>
    <n v="4.4550000000000001"/>
    <n v="13.365"/>
    <x v="1"/>
    <x v="1"/>
    <x v="0"/>
  </r>
  <r>
    <s v="OYU-25085-528"/>
    <x v="120"/>
    <s v="10142-55267-YO"/>
    <s v="E-L-0.2"/>
    <n v="4"/>
    <s v="Wilek Lightollers"/>
    <s v="wlightollersf9@baidu.com"/>
    <s v="United States"/>
    <s v="Exc"/>
    <s v="L"/>
    <x v="3"/>
    <n v="4.4550000000000001"/>
    <n v="17.82"/>
    <x v="1"/>
    <x v="1"/>
    <x v="0"/>
  </r>
  <r>
    <s v="XCG-07109-195"/>
    <x v="430"/>
    <s v="92976-19453-DT"/>
    <s v="L-D-0.2"/>
    <n v="6"/>
    <s v="Nick Brakespear"/>
    <s v="nbrakespearfa@rediff.com"/>
    <s v="United States"/>
    <s v="Lib"/>
    <s v="D"/>
    <x v="3"/>
    <n v="3.8849999999999998"/>
    <n v="23.31"/>
    <x v="3"/>
    <x v="2"/>
    <x v="0"/>
  </r>
  <r>
    <s v="YZA-25234-630"/>
    <x v="125"/>
    <s v="89757-51438-HX"/>
    <s v="E-D-0.2"/>
    <n v="2"/>
    <s v="Malynda Glawsop"/>
    <s v="mglawsopfb@reverbnation.com"/>
    <s v="United States"/>
    <s v="Exc"/>
    <s v="D"/>
    <x v="3"/>
    <n v="3.645"/>
    <n v="7.29"/>
    <x v="1"/>
    <x v="2"/>
    <x v="1"/>
  </r>
  <r>
    <s v="OKU-29966-417"/>
    <x v="431"/>
    <s v="76192-13390-HZ"/>
    <s v="E-L-0.2"/>
    <n v="4"/>
    <s v="Granville Alberts"/>
    <s v="galbertsfc@etsy.com"/>
    <s v="United Kingdom"/>
    <s v="Exc"/>
    <s v="L"/>
    <x v="3"/>
    <n v="4.4550000000000001"/>
    <n v="17.82"/>
    <x v="1"/>
    <x v="1"/>
    <x v="0"/>
  </r>
  <r>
    <s v="MEX-29350-659"/>
    <x v="40"/>
    <s v="02009-87294-SY"/>
    <s v="E-M-1"/>
    <n v="5"/>
    <s v="Vasily Polglase"/>
    <s v="vpolglasefd@about.me"/>
    <s v="United States"/>
    <s v="Exc"/>
    <s v="M"/>
    <x v="0"/>
    <n v="13.75"/>
    <n v="68.75"/>
    <x v="1"/>
    <x v="0"/>
    <x v="1"/>
  </r>
  <r>
    <s v="NOY-99738-977"/>
    <x v="432"/>
    <s v="82872-34456-LJ"/>
    <s v="R-L-2.5"/>
    <n v="2"/>
    <s v="Madelaine Sharples"/>
    <n v="0"/>
    <s v="United Kingdom"/>
    <s v="Rob"/>
    <s v="L"/>
    <x v="2"/>
    <n v="27.484999999999996"/>
    <n v="54.969999999999992"/>
    <x v="0"/>
    <x v="1"/>
    <x v="0"/>
  </r>
  <r>
    <s v="TCR-01064-030"/>
    <x v="254"/>
    <s v="13181-04387-LI"/>
    <s v="E-M-1"/>
    <n v="6"/>
    <s v="Sigfrid Busch"/>
    <s v="sbuschff@so-net.ne.jp"/>
    <s v="Ireland"/>
    <s v="Exc"/>
    <s v="M"/>
    <x v="0"/>
    <n v="13.75"/>
    <n v="82.5"/>
    <x v="1"/>
    <x v="0"/>
    <x v="1"/>
  </r>
  <r>
    <s v="YUL-42750-776"/>
    <x v="219"/>
    <s v="24845-36117-TI"/>
    <s v="L-M-0.2"/>
    <n v="2"/>
    <s v="Cissiee Raisbeck"/>
    <s v="craisbeckfg@webnode.com"/>
    <s v="United States"/>
    <s v="Lib"/>
    <s v="M"/>
    <x v="3"/>
    <n v="4.3650000000000002"/>
    <n v="8.73"/>
    <x v="3"/>
    <x v="0"/>
    <x v="0"/>
  </r>
  <r>
    <s v="XQJ-86887-506"/>
    <x v="433"/>
    <s v="66458-91190-YC"/>
    <s v="E-L-1"/>
    <n v="4"/>
    <s v="Marja Urion"/>
    <s v="murione5@alexa.com"/>
    <s v="Ireland"/>
    <s v="Exc"/>
    <s v="L"/>
    <x v="0"/>
    <n v="14.85"/>
    <n v="59.4"/>
    <x v="1"/>
    <x v="1"/>
    <x v="0"/>
  </r>
  <r>
    <s v="CUN-90044-279"/>
    <x v="434"/>
    <s v="86646-65810-TD"/>
    <s v="L-D-0.2"/>
    <n v="4"/>
    <s v="Kenton Wetherick"/>
    <n v="0"/>
    <s v="United States"/>
    <s v="Lib"/>
    <s v="D"/>
    <x v="3"/>
    <n v="3.8849999999999998"/>
    <n v="15.54"/>
    <x v="3"/>
    <x v="2"/>
    <x v="0"/>
  </r>
  <r>
    <s v="ICC-73030-502"/>
    <x v="435"/>
    <s v="59480-02795-IU"/>
    <s v="A-L-1"/>
    <n v="3"/>
    <s v="Reamonn Aynold"/>
    <s v="raynoldfj@ustream.tv"/>
    <s v="United States"/>
    <s v="Ara"/>
    <s v="L"/>
    <x v="0"/>
    <n v="12.95"/>
    <n v="38.849999999999994"/>
    <x v="2"/>
    <x v="1"/>
    <x v="0"/>
  </r>
  <r>
    <s v="ADP-04506-084"/>
    <x v="436"/>
    <s v="61809-87758-LJ"/>
    <s v="E-M-2.5"/>
    <n v="6"/>
    <s v="Hatty Dovydenas"/>
    <n v="0"/>
    <s v="United States"/>
    <s v="Exc"/>
    <s v="M"/>
    <x v="2"/>
    <n v="31.624999999999996"/>
    <n v="189.74999999999997"/>
    <x v="1"/>
    <x v="0"/>
    <x v="0"/>
  </r>
  <r>
    <s v="PNU-22150-408"/>
    <x v="437"/>
    <s v="77408-43873-RS"/>
    <s v="A-D-0.2"/>
    <n v="6"/>
    <s v="Nathaniel Bloxland"/>
    <n v="0"/>
    <s v="Ireland"/>
    <s v="Ara"/>
    <s v="D"/>
    <x v="3"/>
    <n v="2.9849999999999999"/>
    <n v="17.91"/>
    <x v="2"/>
    <x v="2"/>
    <x v="0"/>
  </r>
  <r>
    <s v="VSQ-07182-513"/>
    <x v="438"/>
    <s v="18366-65239-WF"/>
    <s v="L-L-0.2"/>
    <n v="6"/>
    <s v="Brendan Grece"/>
    <s v="bgrecefm@naver.com"/>
    <s v="United Kingdom"/>
    <s v="Lib"/>
    <s v="L"/>
    <x v="3"/>
    <n v="4.7549999999999999"/>
    <n v="28.53"/>
    <x v="3"/>
    <x v="1"/>
    <x v="1"/>
  </r>
  <r>
    <s v="SPF-31673-217"/>
    <x v="439"/>
    <s v="19485-98072-PS"/>
    <s v="E-M-1"/>
    <n v="6"/>
    <s v="Don Flintiff"/>
    <s v="dflintiffg1@e-recht24.de"/>
    <s v="United Kingdom"/>
    <s v="Exc"/>
    <s v="M"/>
    <x v="0"/>
    <n v="13.75"/>
    <n v="82.5"/>
    <x v="1"/>
    <x v="0"/>
    <x v="1"/>
  </r>
  <r>
    <s v="NEX-63825-598"/>
    <x v="175"/>
    <s v="72072-33025-SD"/>
    <s v="R-L-0.5"/>
    <n v="2"/>
    <s v="Abbe Thys"/>
    <s v="athysfo@cdc.gov"/>
    <s v="United States"/>
    <s v="Rob"/>
    <s v="L"/>
    <x v="1"/>
    <n v="7.169999999999999"/>
    <n v="14.339999999999998"/>
    <x v="0"/>
    <x v="1"/>
    <x v="1"/>
  </r>
  <r>
    <s v="XPG-66112-335"/>
    <x v="440"/>
    <s v="58118-22461-GC"/>
    <s v="R-D-2.5"/>
    <n v="4"/>
    <s v="Jackquelin Chugg"/>
    <s v="jchuggfp@about.me"/>
    <s v="United States"/>
    <s v="Rob"/>
    <s v="D"/>
    <x v="2"/>
    <n v="20.584999999999997"/>
    <n v="82.339999999999989"/>
    <x v="0"/>
    <x v="2"/>
    <x v="1"/>
  </r>
  <r>
    <s v="NSQ-72210-345"/>
    <x v="441"/>
    <s v="90940-63327-DJ"/>
    <s v="A-M-0.2"/>
    <n v="6"/>
    <s v="Audra Kelston"/>
    <s v="akelstonfq@sakura.ne.jp"/>
    <s v="United States"/>
    <s v="Ara"/>
    <s v="M"/>
    <x v="3"/>
    <n v="3.375"/>
    <n v="20.25"/>
    <x v="2"/>
    <x v="0"/>
    <x v="0"/>
  </r>
  <r>
    <s v="XRR-28376-277"/>
    <x v="442"/>
    <s v="64481-42546-II"/>
    <s v="R-L-2.5"/>
    <n v="6"/>
    <s v="Elvina Angel"/>
    <n v="0"/>
    <s v="Ireland"/>
    <s v="Rob"/>
    <s v="L"/>
    <x v="2"/>
    <n v="27.484999999999996"/>
    <n v="164.90999999999997"/>
    <x v="0"/>
    <x v="1"/>
    <x v="1"/>
  </r>
  <r>
    <s v="WHQ-25197-475"/>
    <x v="443"/>
    <s v="27536-28463-NJ"/>
    <s v="L-L-0.2"/>
    <n v="4"/>
    <s v="Claiborne Mottram"/>
    <s v="cmottramfs@harvard.edu"/>
    <s v="United States"/>
    <s v="Lib"/>
    <s v="L"/>
    <x v="3"/>
    <n v="4.7549999999999999"/>
    <n v="19.02"/>
    <x v="3"/>
    <x v="1"/>
    <x v="0"/>
  </r>
  <r>
    <s v="HMB-30634-745"/>
    <x v="216"/>
    <s v="19485-98072-PS"/>
    <s v="A-D-2.5"/>
    <n v="6"/>
    <s v="Don Flintiff"/>
    <s v="dflintiffg1@e-recht24.de"/>
    <s v="United Kingdom"/>
    <s v="Ara"/>
    <s v="D"/>
    <x v="2"/>
    <n v="22.884999999999998"/>
    <n v="137.31"/>
    <x v="2"/>
    <x v="2"/>
    <x v="1"/>
  </r>
  <r>
    <s v="XTL-68000-371"/>
    <x v="444"/>
    <s v="70140-82812-KD"/>
    <s v="A-M-0.5"/>
    <n v="4"/>
    <s v="Donalt Sangwin"/>
    <s v="dsangwinfu@weebly.com"/>
    <s v="United States"/>
    <s v="Ara"/>
    <s v="M"/>
    <x v="1"/>
    <n v="6.75"/>
    <n v="27"/>
    <x v="2"/>
    <x v="0"/>
    <x v="1"/>
  </r>
  <r>
    <s v="YES-51109-625"/>
    <x v="37"/>
    <s v="91895-55605-LS"/>
    <s v="E-L-0.5"/>
    <n v="4"/>
    <s v="Elizabet Aizikowitz"/>
    <s v="eaizikowitzfv@virginia.edu"/>
    <s v="United Kingdom"/>
    <s v="Exc"/>
    <s v="L"/>
    <x v="1"/>
    <n v="8.91"/>
    <n v="35.64"/>
    <x v="1"/>
    <x v="1"/>
    <x v="1"/>
  </r>
  <r>
    <s v="EAY-89850-211"/>
    <x v="445"/>
    <s v="43155-71724-XP"/>
    <s v="A-D-0.2"/>
    <n v="2"/>
    <s v="Herbie Peppard"/>
    <n v="0"/>
    <s v="United States"/>
    <s v="Ara"/>
    <s v="D"/>
    <x v="3"/>
    <n v="2.9849999999999999"/>
    <n v="5.97"/>
    <x v="2"/>
    <x v="2"/>
    <x v="0"/>
  </r>
  <r>
    <s v="IOQ-84840-827"/>
    <x v="446"/>
    <s v="32038-81174-JF"/>
    <s v="A-M-1"/>
    <n v="6"/>
    <s v="Cornie Venour"/>
    <s v="cvenourfx@ask.com"/>
    <s v="United States"/>
    <s v="Ara"/>
    <s v="M"/>
    <x v="0"/>
    <n v="11.25"/>
    <n v="67.5"/>
    <x v="2"/>
    <x v="0"/>
    <x v="1"/>
  </r>
  <r>
    <s v="FBD-56220-430"/>
    <x v="245"/>
    <s v="59205-20324-NB"/>
    <s v="R-L-0.2"/>
    <n v="6"/>
    <s v="Maggy Harby"/>
    <s v="mharbyfy@163.com"/>
    <s v="United States"/>
    <s v="Rob"/>
    <s v="L"/>
    <x v="3"/>
    <n v="3.5849999999999995"/>
    <n v="21.509999999999998"/>
    <x v="0"/>
    <x v="1"/>
    <x v="0"/>
  </r>
  <r>
    <s v="COV-52659-202"/>
    <x v="447"/>
    <s v="99899-54612-NX"/>
    <s v="L-M-2.5"/>
    <n v="2"/>
    <s v="Reggie Thickpenny"/>
    <s v="rthickpennyfz@cafepress.com"/>
    <s v="United States"/>
    <s v="Lib"/>
    <s v="M"/>
    <x v="2"/>
    <n v="33.464999999999996"/>
    <n v="66.929999999999993"/>
    <x v="3"/>
    <x v="0"/>
    <x v="1"/>
  </r>
  <r>
    <s v="YUO-76652-814"/>
    <x v="448"/>
    <s v="26248-84194-FI"/>
    <s v="A-D-0.2"/>
    <n v="6"/>
    <s v="Phyllys Ormerod"/>
    <s v="pormerodg0@redcross.org"/>
    <s v="United States"/>
    <s v="Ara"/>
    <s v="D"/>
    <x v="3"/>
    <n v="2.9849999999999999"/>
    <n v="17.91"/>
    <x v="2"/>
    <x v="2"/>
    <x v="1"/>
  </r>
  <r>
    <s v="PBT-36926-102"/>
    <x v="344"/>
    <s v="19485-98072-PS"/>
    <s v="L-M-1"/>
    <n v="4"/>
    <s v="Don Flintiff"/>
    <s v="dflintiffg1@e-recht24.de"/>
    <s v="United Kingdom"/>
    <s v="Lib"/>
    <s v="M"/>
    <x v="0"/>
    <n v="14.55"/>
    <n v="58.2"/>
    <x v="3"/>
    <x v="0"/>
    <x v="1"/>
  </r>
  <r>
    <s v="BLV-60087-454"/>
    <x v="152"/>
    <s v="84493-71314-WX"/>
    <s v="E-L-0.2"/>
    <n v="3"/>
    <s v="Tymon Zanetti"/>
    <s v="tzanettig2@gravatar.com"/>
    <s v="Ireland"/>
    <s v="Exc"/>
    <s v="L"/>
    <x v="3"/>
    <n v="4.4550000000000001"/>
    <n v="13.365"/>
    <x v="1"/>
    <x v="1"/>
    <x v="1"/>
  </r>
  <r>
    <s v="BLV-60087-454"/>
    <x v="152"/>
    <s v="84493-71314-WX"/>
    <s v="A-M-0.5"/>
    <n v="5"/>
    <s v="Tymon Zanetti"/>
    <s v="tzanettig2@gravatar.com"/>
    <s v="Ireland"/>
    <s v="Ara"/>
    <s v="M"/>
    <x v="1"/>
    <n v="6.75"/>
    <n v="33.75"/>
    <x v="2"/>
    <x v="0"/>
    <x v="1"/>
  </r>
  <r>
    <s v="QYC-63914-195"/>
    <x v="449"/>
    <s v="39789-43945-IV"/>
    <s v="E-L-1"/>
    <n v="3"/>
    <s v="Reinaldos Kirtley"/>
    <s v="rkirtleyg4@hatena.ne.jp"/>
    <s v="United States"/>
    <s v="Exc"/>
    <s v="L"/>
    <x v="0"/>
    <n v="14.85"/>
    <n v="44.55"/>
    <x v="1"/>
    <x v="1"/>
    <x v="0"/>
  </r>
  <r>
    <s v="OIB-77163-890"/>
    <x v="450"/>
    <s v="38972-89678-ZM"/>
    <s v="E-L-0.5"/>
    <n v="5"/>
    <s v="Carney Clemencet"/>
    <s v="cclemencetg5@weather.com"/>
    <s v="United Kingdom"/>
    <s v="Exc"/>
    <s v="L"/>
    <x v="1"/>
    <n v="8.91"/>
    <n v="44.55"/>
    <x v="1"/>
    <x v="1"/>
    <x v="0"/>
  </r>
  <r>
    <s v="SGS-87525-238"/>
    <x v="451"/>
    <s v="91465-84526-IJ"/>
    <s v="E-D-1"/>
    <n v="5"/>
    <s v="Russell Donet"/>
    <s v="rdonetg6@oakley.com"/>
    <s v="United States"/>
    <s v="Exc"/>
    <s v="D"/>
    <x v="0"/>
    <n v="12.15"/>
    <n v="60.75"/>
    <x v="1"/>
    <x v="2"/>
    <x v="1"/>
  </r>
  <r>
    <s v="GQR-12490-152"/>
    <x v="83"/>
    <s v="22832-98538-RB"/>
    <s v="R-L-0.2"/>
    <n v="1"/>
    <s v="Sidney Gawen"/>
    <s v="sgaweng7@creativecommons.org"/>
    <s v="United States"/>
    <s v="Rob"/>
    <s v="L"/>
    <x v="3"/>
    <n v="3.5849999999999995"/>
    <n v="3.5849999999999995"/>
    <x v="0"/>
    <x v="1"/>
    <x v="0"/>
  </r>
  <r>
    <s v="UOJ-28238-299"/>
    <x v="452"/>
    <s v="30844-91890-ZA"/>
    <s v="R-L-0.2"/>
    <n v="6"/>
    <s v="Rickey Readie"/>
    <s v="rreadieg8@guardian.co.uk"/>
    <s v="United States"/>
    <s v="Rob"/>
    <s v="L"/>
    <x v="3"/>
    <n v="3.5849999999999995"/>
    <n v="21.509999999999998"/>
    <x v="0"/>
    <x v="1"/>
    <x v="1"/>
  </r>
  <r>
    <s v="ETD-58130-674"/>
    <x v="453"/>
    <s v="05325-97750-WP"/>
    <s v="E-M-0.5"/>
    <n v="2"/>
    <s v="Cody Verissimo"/>
    <s v="cverissimogh@theglobeandmail.com"/>
    <s v="United Kingdom"/>
    <s v="Exc"/>
    <s v="M"/>
    <x v="1"/>
    <n v="8.25"/>
    <n v="16.5"/>
    <x v="1"/>
    <x v="0"/>
    <x v="0"/>
  </r>
  <r>
    <s v="UPF-60123-025"/>
    <x v="454"/>
    <s v="88992-49081-AT"/>
    <s v="R-L-2.5"/>
    <n v="3"/>
    <s v="Zilvia Claisse"/>
    <n v="0"/>
    <s v="United States"/>
    <s v="Rob"/>
    <s v="L"/>
    <x v="2"/>
    <n v="27.484999999999996"/>
    <n v="82.454999999999984"/>
    <x v="0"/>
    <x v="1"/>
    <x v="1"/>
  </r>
  <r>
    <s v="NQS-01613-687"/>
    <x v="455"/>
    <s v="10204-31464-SA"/>
    <s v="L-D-0.5"/>
    <n v="1"/>
    <s v="Bar O' Mahony"/>
    <s v="bogb@elpais.com"/>
    <s v="United States"/>
    <s v="Lib"/>
    <s v="D"/>
    <x v="1"/>
    <n v="7.77"/>
    <n v="7.77"/>
    <x v="3"/>
    <x v="2"/>
    <x v="0"/>
  </r>
  <r>
    <s v="MGH-36050-573"/>
    <x v="456"/>
    <s v="75156-80911-YT"/>
    <s v="R-M-0.5"/>
    <n v="2"/>
    <s v="Valenka Stansbury"/>
    <s v="vstansburygc@unblog.fr"/>
    <s v="United States"/>
    <s v="Rob"/>
    <s v="M"/>
    <x v="1"/>
    <n v="5.97"/>
    <n v="11.94"/>
    <x v="0"/>
    <x v="0"/>
    <x v="0"/>
  </r>
  <r>
    <s v="UVF-59322-459"/>
    <x v="373"/>
    <s v="53971-49906-PZ"/>
    <s v="E-L-2.5"/>
    <n v="6"/>
    <s v="Daniel Heinonen"/>
    <s v="dheinonengd@printfriendly.com"/>
    <s v="United States"/>
    <s v="Exc"/>
    <s v="L"/>
    <x v="2"/>
    <n v="34.154999999999994"/>
    <n v="204.92999999999995"/>
    <x v="1"/>
    <x v="1"/>
    <x v="1"/>
  </r>
  <r>
    <s v="VET-41158-896"/>
    <x v="457"/>
    <s v="10728-17633-ST"/>
    <s v="E-M-2.5"/>
    <n v="2"/>
    <s v="Jewelle Shenton"/>
    <s v="jshentonge@google.com.hk"/>
    <s v="United States"/>
    <s v="Exc"/>
    <s v="M"/>
    <x v="2"/>
    <n v="31.624999999999996"/>
    <n v="63.249999999999993"/>
    <x v="1"/>
    <x v="0"/>
    <x v="0"/>
  </r>
  <r>
    <s v="XYL-52196-459"/>
    <x v="458"/>
    <s v="13549-65017-VE"/>
    <s v="R-D-0.2"/>
    <n v="3"/>
    <s v="Jennifer Wilkisson"/>
    <s v="jwilkissongf@nba.com"/>
    <s v="United States"/>
    <s v="Rob"/>
    <s v="D"/>
    <x v="3"/>
    <n v="2.6849999999999996"/>
    <n v="8.0549999999999997"/>
    <x v="0"/>
    <x v="2"/>
    <x v="0"/>
  </r>
  <r>
    <s v="BPZ-51283-916"/>
    <x v="264"/>
    <s v="87688-42420-TO"/>
    <s v="A-M-2.5"/>
    <n v="2"/>
    <s v="Kylie Mowat"/>
    <n v="0"/>
    <s v="United States"/>
    <s v="Ara"/>
    <s v="M"/>
    <x v="2"/>
    <n v="25.874999999999996"/>
    <n v="51.749999999999993"/>
    <x v="2"/>
    <x v="0"/>
    <x v="1"/>
  </r>
  <r>
    <s v="VQW-91903-926"/>
    <x v="459"/>
    <s v="05325-97750-WP"/>
    <s v="E-D-2.5"/>
    <n v="1"/>
    <s v="Cody Verissimo"/>
    <s v="cverissimogh@theglobeandmail.com"/>
    <s v="United Kingdom"/>
    <s v="Exc"/>
    <s v="D"/>
    <x v="2"/>
    <n v="27.945"/>
    <n v="27.945"/>
    <x v="1"/>
    <x v="2"/>
    <x v="0"/>
  </r>
  <r>
    <s v="OLF-77983-457"/>
    <x v="460"/>
    <s v="51901-35210-UI"/>
    <s v="A-L-2.5"/>
    <n v="2"/>
    <s v="Gabriel Starcks"/>
    <s v="gstarcksgi@abc.net.au"/>
    <s v="United States"/>
    <s v="Ara"/>
    <s v="L"/>
    <x v="2"/>
    <n v="29.784999999999997"/>
    <n v="59.569999999999993"/>
    <x v="2"/>
    <x v="1"/>
    <x v="1"/>
  </r>
  <r>
    <s v="MVI-04946-827"/>
    <x v="461"/>
    <s v="62483-50867-OM"/>
    <s v="E-L-1"/>
    <n v="1"/>
    <s v="Darby Dummer"/>
    <n v="0"/>
    <s v="United Kingdom"/>
    <s v="Exc"/>
    <s v="L"/>
    <x v="0"/>
    <n v="14.85"/>
    <n v="14.85"/>
    <x v="1"/>
    <x v="1"/>
    <x v="1"/>
  </r>
  <r>
    <s v="UOG-94188-104"/>
    <x v="219"/>
    <s v="92753-50029-SD"/>
    <s v="A-M-0.5"/>
    <n v="5"/>
    <s v="Kienan Scholard"/>
    <s v="kscholardgk@sbwire.com"/>
    <s v="United States"/>
    <s v="Ara"/>
    <s v="M"/>
    <x v="1"/>
    <n v="6.75"/>
    <n v="33.75"/>
    <x v="2"/>
    <x v="0"/>
    <x v="1"/>
  </r>
  <r>
    <s v="DSN-15872-519"/>
    <x v="462"/>
    <s v="53809-98498-SN"/>
    <s v="L-L-2.5"/>
    <n v="4"/>
    <s v="Bo Kindley"/>
    <s v="bkindleygl@wikimedia.org"/>
    <s v="United States"/>
    <s v="Lib"/>
    <s v="L"/>
    <x v="2"/>
    <n v="36.454999999999998"/>
    <n v="145.82"/>
    <x v="3"/>
    <x v="1"/>
    <x v="0"/>
  </r>
  <r>
    <s v="OUQ-73954-002"/>
    <x v="463"/>
    <s v="66308-13503-KD"/>
    <s v="R-M-0.2"/>
    <n v="4"/>
    <s v="Krissie Hammett"/>
    <s v="khammettgm@dmoz.org"/>
    <s v="United States"/>
    <s v="Rob"/>
    <s v="M"/>
    <x v="3"/>
    <n v="2.9849999999999999"/>
    <n v="11.94"/>
    <x v="0"/>
    <x v="0"/>
    <x v="0"/>
  </r>
  <r>
    <s v="LGL-16843-667"/>
    <x v="464"/>
    <s v="82458-87830-JE"/>
    <s v="A-D-0.2"/>
    <n v="4"/>
    <s v="Alisha Hulburt"/>
    <s v="ahulburtgn@fda.gov"/>
    <s v="United States"/>
    <s v="Ara"/>
    <s v="D"/>
    <x v="3"/>
    <n v="2.9849999999999999"/>
    <n v="11.94"/>
    <x v="2"/>
    <x v="2"/>
    <x v="0"/>
  </r>
  <r>
    <s v="TCC-89722-031"/>
    <x v="465"/>
    <s v="41611-34336-WT"/>
    <s v="L-D-0.5"/>
    <n v="1"/>
    <s v="Peyter Lauritzen"/>
    <s v="plauritzengo@photobucket.com"/>
    <s v="United States"/>
    <s v="Lib"/>
    <s v="D"/>
    <x v="1"/>
    <n v="7.77"/>
    <n v="7.77"/>
    <x v="3"/>
    <x v="2"/>
    <x v="1"/>
  </r>
  <r>
    <s v="TRA-79507-007"/>
    <x v="466"/>
    <s v="70089-27418-UJ"/>
    <s v="R-L-2.5"/>
    <n v="4"/>
    <s v="Aurelia Burgwin"/>
    <s v="aburgwingp@redcross.org"/>
    <s v="United States"/>
    <s v="Rob"/>
    <s v="L"/>
    <x v="2"/>
    <n v="27.484999999999996"/>
    <n v="109.93999999999998"/>
    <x v="0"/>
    <x v="1"/>
    <x v="0"/>
  </r>
  <r>
    <s v="MZJ-77284-941"/>
    <x v="467"/>
    <s v="99978-56910-BN"/>
    <s v="E-L-0.2"/>
    <n v="5"/>
    <s v="Emalee Rolin"/>
    <s v="erolingq@google.fr"/>
    <s v="United States"/>
    <s v="Exc"/>
    <s v="L"/>
    <x v="3"/>
    <n v="4.4550000000000001"/>
    <n v="22.274999999999999"/>
    <x v="1"/>
    <x v="1"/>
    <x v="0"/>
  </r>
  <r>
    <s v="AXN-57779-891"/>
    <x v="468"/>
    <s v="09668-23340-IC"/>
    <s v="R-M-0.2"/>
    <n v="3"/>
    <s v="Donavon Fowle"/>
    <s v="dfowlegr@epa.gov"/>
    <s v="United States"/>
    <s v="Rob"/>
    <s v="M"/>
    <x v="3"/>
    <n v="2.9849999999999999"/>
    <n v="8.9550000000000001"/>
    <x v="0"/>
    <x v="0"/>
    <x v="1"/>
  </r>
  <r>
    <s v="PJB-15659-994"/>
    <x v="469"/>
    <s v="39457-62611-YK"/>
    <s v="L-D-2.5"/>
    <n v="4"/>
    <s v="Jorge Bettison"/>
    <n v="0"/>
    <s v="Ireland"/>
    <s v="Lib"/>
    <s v="D"/>
    <x v="2"/>
    <n v="29.784999999999997"/>
    <n v="119.13999999999999"/>
    <x v="3"/>
    <x v="2"/>
    <x v="1"/>
  </r>
  <r>
    <s v="LTS-03470-353"/>
    <x v="470"/>
    <s v="90985-89807-RW"/>
    <s v="A-L-2.5"/>
    <n v="5"/>
    <s v="Wang Powlesland"/>
    <s v="wpowleslandgt@soundcloud.com"/>
    <s v="United States"/>
    <s v="Ara"/>
    <s v="L"/>
    <x v="2"/>
    <n v="29.784999999999997"/>
    <n v="148.92499999999998"/>
    <x v="2"/>
    <x v="1"/>
    <x v="0"/>
  </r>
  <r>
    <s v="UMM-28497-689"/>
    <x v="471"/>
    <s v="05325-97750-WP"/>
    <s v="L-L-2.5"/>
    <n v="3"/>
    <s v="Cody Verissimo"/>
    <s v="cverissimogh@theglobeandmail.com"/>
    <s v="United Kingdom"/>
    <s v="Lib"/>
    <s v="L"/>
    <x v="2"/>
    <n v="36.454999999999998"/>
    <n v="109.36499999999999"/>
    <x v="3"/>
    <x v="1"/>
    <x v="0"/>
  </r>
  <r>
    <s v="MJZ-93232-402"/>
    <x v="472"/>
    <s v="17816-67941-ZS"/>
    <s v="E-D-0.2"/>
    <n v="1"/>
    <s v="Laurence Ellingham"/>
    <s v="lellinghamgv@sciencedaily.com"/>
    <s v="United States"/>
    <s v="Exc"/>
    <s v="D"/>
    <x v="3"/>
    <n v="3.645"/>
    <n v="3.645"/>
    <x v="1"/>
    <x v="2"/>
    <x v="0"/>
  </r>
  <r>
    <s v="UHW-74617-126"/>
    <x v="173"/>
    <s v="90816-65619-LM"/>
    <s v="E-D-2.5"/>
    <n v="2"/>
    <s v="Billy Neiland"/>
    <n v="0"/>
    <s v="United States"/>
    <s v="Exc"/>
    <s v="D"/>
    <x v="2"/>
    <n v="27.945"/>
    <n v="55.89"/>
    <x v="1"/>
    <x v="2"/>
    <x v="1"/>
  </r>
  <r>
    <s v="RIK-61730-794"/>
    <x v="473"/>
    <s v="69761-61146-KD"/>
    <s v="L-M-0.2"/>
    <n v="6"/>
    <s v="Ancell Fendt"/>
    <s v="afendtgx@forbes.com"/>
    <s v="United States"/>
    <s v="Lib"/>
    <s v="M"/>
    <x v="3"/>
    <n v="4.3650000000000002"/>
    <n v="26.19"/>
    <x v="3"/>
    <x v="0"/>
    <x v="0"/>
  </r>
  <r>
    <s v="IDJ-55379-750"/>
    <x v="474"/>
    <s v="24040-20817-QB"/>
    <s v="R-M-1"/>
    <n v="4"/>
    <s v="Angelia Cleyburn"/>
    <s v="acleyburngy@lycos.com"/>
    <s v="United States"/>
    <s v="Rob"/>
    <s v="M"/>
    <x v="0"/>
    <n v="9.9499999999999993"/>
    <n v="39.799999999999997"/>
    <x v="0"/>
    <x v="0"/>
    <x v="1"/>
  </r>
  <r>
    <s v="OHX-11953-965"/>
    <x v="475"/>
    <s v="19524-21432-XP"/>
    <s v="E-L-2.5"/>
    <n v="2"/>
    <s v="Temple Castiglione"/>
    <s v="tcastiglionegz@xing.com"/>
    <s v="United States"/>
    <s v="Exc"/>
    <s v="L"/>
    <x v="2"/>
    <n v="34.154999999999994"/>
    <n v="68.309999999999988"/>
    <x v="1"/>
    <x v="1"/>
    <x v="1"/>
  </r>
  <r>
    <s v="TVV-42245-088"/>
    <x v="476"/>
    <s v="14398-43114-RV"/>
    <s v="A-M-0.2"/>
    <n v="4"/>
    <s v="Betti Lacasa"/>
    <n v="0"/>
    <s v="Ireland"/>
    <s v="Ara"/>
    <s v="M"/>
    <x v="3"/>
    <n v="3.375"/>
    <n v="13.5"/>
    <x v="2"/>
    <x v="0"/>
    <x v="1"/>
  </r>
  <r>
    <s v="DYP-74337-787"/>
    <x v="431"/>
    <s v="41486-52502-QQ"/>
    <s v="R-M-0.5"/>
    <n v="1"/>
    <s v="Gunilla Lynch"/>
    <n v="0"/>
    <s v="United States"/>
    <s v="Rob"/>
    <s v="M"/>
    <x v="1"/>
    <n v="5.97"/>
    <n v="5.97"/>
    <x v="0"/>
    <x v="0"/>
    <x v="1"/>
  </r>
  <r>
    <s v="OKA-93124-100"/>
    <x v="477"/>
    <s v="05325-97750-WP"/>
    <s v="R-M-0.5"/>
    <n v="5"/>
    <s v="Cody Verissimo"/>
    <s v="cverissimogh@theglobeandmail.com"/>
    <s v="United Kingdom"/>
    <s v="Rob"/>
    <s v="M"/>
    <x v="1"/>
    <n v="5.97"/>
    <n v="29.849999999999998"/>
    <x v="0"/>
    <x v="0"/>
    <x v="0"/>
  </r>
  <r>
    <s v="IXW-20780-268"/>
    <x v="478"/>
    <s v="20236-64364-QL"/>
    <s v="L-L-2.5"/>
    <n v="2"/>
    <s v="Shay Couronne"/>
    <s v="scouronneh3@mozilla.org"/>
    <s v="United States"/>
    <s v="Lib"/>
    <s v="L"/>
    <x v="2"/>
    <n v="36.454999999999998"/>
    <n v="72.91"/>
    <x v="3"/>
    <x v="1"/>
    <x v="0"/>
  </r>
  <r>
    <s v="NGG-24006-937"/>
    <x v="45"/>
    <s v="29102-40100-TZ"/>
    <s v="E-M-2.5"/>
    <n v="4"/>
    <s v="Linus Flippelli"/>
    <s v="lflippellih4@github.io"/>
    <s v="United Kingdom"/>
    <s v="Exc"/>
    <s v="M"/>
    <x v="2"/>
    <n v="31.624999999999996"/>
    <n v="126.49999999999999"/>
    <x v="1"/>
    <x v="0"/>
    <x v="1"/>
  </r>
  <r>
    <s v="JZC-31180-557"/>
    <x v="444"/>
    <s v="09171-42203-EB"/>
    <s v="L-M-2.5"/>
    <n v="1"/>
    <s v="Rachelle Elizabeth"/>
    <s v="relizabethh5@live.com"/>
    <s v="United States"/>
    <s v="Lib"/>
    <s v="M"/>
    <x v="2"/>
    <n v="33.464999999999996"/>
    <n v="33.464999999999996"/>
    <x v="3"/>
    <x v="0"/>
    <x v="1"/>
  </r>
  <r>
    <s v="ZMU-63715-204"/>
    <x v="479"/>
    <s v="29060-75856-UI"/>
    <s v="E-D-1"/>
    <n v="6"/>
    <s v="Innis Renhard"/>
    <s v="irenhardh6@i2i.jp"/>
    <s v="United States"/>
    <s v="Exc"/>
    <s v="D"/>
    <x v="0"/>
    <n v="12.15"/>
    <n v="72.900000000000006"/>
    <x v="1"/>
    <x v="2"/>
    <x v="0"/>
  </r>
  <r>
    <s v="GND-08192-056"/>
    <x v="480"/>
    <s v="17088-16989-PL"/>
    <s v="L-D-0.5"/>
    <n v="2"/>
    <s v="Winne Roche"/>
    <s v="wrocheh7@xinhuanet.com"/>
    <s v="United States"/>
    <s v="Lib"/>
    <s v="D"/>
    <x v="1"/>
    <n v="7.77"/>
    <n v="15.54"/>
    <x v="3"/>
    <x v="2"/>
    <x v="0"/>
  </r>
  <r>
    <s v="RYY-38961-093"/>
    <x v="481"/>
    <s v="14756-18321-CL"/>
    <s v="A-M-0.2"/>
    <n v="6"/>
    <s v="Linn Alaway"/>
    <s v="lalawayhh@weather.com"/>
    <s v="United States"/>
    <s v="Ara"/>
    <s v="M"/>
    <x v="3"/>
    <n v="3.375"/>
    <n v="20.25"/>
    <x v="2"/>
    <x v="0"/>
    <x v="1"/>
  </r>
  <r>
    <s v="CVA-64996-969"/>
    <x v="478"/>
    <s v="13324-78688-MI"/>
    <s v="A-L-1"/>
    <n v="6"/>
    <s v="Cordy Odgaard"/>
    <s v="codgaardh9@nsw.gov.au"/>
    <s v="United States"/>
    <s v="Ara"/>
    <s v="L"/>
    <x v="0"/>
    <n v="12.95"/>
    <n v="77.699999999999989"/>
    <x v="2"/>
    <x v="1"/>
    <x v="1"/>
  </r>
  <r>
    <s v="XTH-67276-442"/>
    <x v="482"/>
    <s v="73799-04749-BM"/>
    <s v="L-M-2.5"/>
    <n v="4"/>
    <s v="Bertine Byrd"/>
    <s v="bbyrdha@4shared.com"/>
    <s v="United States"/>
    <s v="Lib"/>
    <s v="M"/>
    <x v="2"/>
    <n v="33.464999999999996"/>
    <n v="133.85999999999999"/>
    <x v="3"/>
    <x v="0"/>
    <x v="1"/>
  </r>
  <r>
    <s v="PVU-02950-470"/>
    <x v="353"/>
    <s v="01927-46702-YT"/>
    <s v="E-D-1"/>
    <n v="1"/>
    <s v="Nelie Garnson"/>
    <n v="0"/>
    <s v="United Kingdom"/>
    <s v="Exc"/>
    <s v="D"/>
    <x v="0"/>
    <n v="12.15"/>
    <n v="12.15"/>
    <x v="1"/>
    <x v="2"/>
    <x v="1"/>
  </r>
  <r>
    <s v="XSN-26809-910"/>
    <x v="199"/>
    <s v="80467-17137-TO"/>
    <s v="E-M-2.5"/>
    <n v="2"/>
    <s v="Dianne Chardin"/>
    <s v="dchardinhc@nhs.uk"/>
    <s v="Ireland"/>
    <s v="Exc"/>
    <s v="M"/>
    <x v="2"/>
    <n v="31.624999999999996"/>
    <n v="63.249999999999993"/>
    <x v="1"/>
    <x v="0"/>
    <x v="0"/>
  </r>
  <r>
    <s v="UDN-88321-005"/>
    <x v="372"/>
    <s v="14640-87215-BK"/>
    <s v="R-L-0.5"/>
    <n v="5"/>
    <s v="Hailee Radbone"/>
    <s v="hradbonehd@newsvine.com"/>
    <s v="United States"/>
    <s v="Rob"/>
    <s v="L"/>
    <x v="1"/>
    <n v="7.169999999999999"/>
    <n v="35.849999999999994"/>
    <x v="0"/>
    <x v="1"/>
    <x v="1"/>
  </r>
  <r>
    <s v="EXP-21628-670"/>
    <x v="267"/>
    <s v="94447-35885-HK"/>
    <s v="A-M-2.5"/>
    <n v="3"/>
    <s v="Wallis Bernth"/>
    <s v="wbernthhe@miitbeian.gov.cn"/>
    <s v="United States"/>
    <s v="Ara"/>
    <s v="M"/>
    <x v="2"/>
    <n v="25.874999999999996"/>
    <n v="77.624999999999986"/>
    <x v="2"/>
    <x v="0"/>
    <x v="1"/>
  </r>
  <r>
    <s v="VGM-24161-361"/>
    <x v="480"/>
    <s v="71034-49694-CS"/>
    <s v="E-M-2.5"/>
    <n v="2"/>
    <s v="Byron Acarson"/>
    <s v="bacarsonhf@cnn.com"/>
    <s v="United States"/>
    <s v="Exc"/>
    <s v="M"/>
    <x v="2"/>
    <n v="31.624999999999996"/>
    <n v="63.249999999999993"/>
    <x v="1"/>
    <x v="0"/>
    <x v="0"/>
  </r>
  <r>
    <s v="PKN-19556-918"/>
    <x v="483"/>
    <s v="00445-42781-KX"/>
    <s v="E-L-0.2"/>
    <n v="6"/>
    <s v="Faunie Brigham"/>
    <s v="fbrighamhg@blog.com"/>
    <s v="Ireland"/>
    <s v="Exc"/>
    <s v="L"/>
    <x v="3"/>
    <n v="4.4550000000000001"/>
    <n v="26.73"/>
    <x v="1"/>
    <x v="1"/>
    <x v="0"/>
  </r>
  <r>
    <s v="PKN-19556-918"/>
    <x v="483"/>
    <s v="00445-42781-KX"/>
    <s v="L-D-0.5"/>
    <n v="4"/>
    <s v="Faunie Brigham"/>
    <s v="fbrighamhg@blog.com"/>
    <s v="Ireland"/>
    <s v="Lib"/>
    <s v="D"/>
    <x v="1"/>
    <n v="7.77"/>
    <n v="31.08"/>
    <x v="3"/>
    <x v="2"/>
    <x v="0"/>
  </r>
  <r>
    <s v="PKN-19556-918"/>
    <x v="483"/>
    <s v="00445-42781-KX"/>
    <s v="A-D-0.2"/>
    <n v="1"/>
    <s v="Faunie Brigham"/>
    <s v="fbrighamhg@blog.com"/>
    <s v="Ireland"/>
    <s v="Ara"/>
    <s v="D"/>
    <x v="3"/>
    <n v="2.9849999999999999"/>
    <n v="2.9849999999999999"/>
    <x v="2"/>
    <x v="2"/>
    <x v="0"/>
  </r>
  <r>
    <s v="PKN-19556-918"/>
    <x v="483"/>
    <s v="00445-42781-KX"/>
    <s v="R-D-2.5"/>
    <n v="5"/>
    <s v="Faunie Brigham"/>
    <s v="fbrighamhg@blog.com"/>
    <s v="Ireland"/>
    <s v="Rob"/>
    <s v="D"/>
    <x v="2"/>
    <n v="20.584999999999997"/>
    <n v="102.92499999999998"/>
    <x v="0"/>
    <x v="2"/>
    <x v="0"/>
  </r>
  <r>
    <s v="DXQ-44537-297"/>
    <x v="484"/>
    <s v="96116-24737-LV"/>
    <s v="E-L-0.5"/>
    <n v="4"/>
    <s v="Marjorie Yoxen"/>
    <s v="myoxenhk@google.com"/>
    <s v="United States"/>
    <s v="Exc"/>
    <s v="L"/>
    <x v="1"/>
    <n v="8.91"/>
    <n v="35.64"/>
    <x v="1"/>
    <x v="1"/>
    <x v="1"/>
  </r>
  <r>
    <s v="BPC-54727-307"/>
    <x v="485"/>
    <s v="18684-73088-YL"/>
    <s v="R-L-1"/>
    <n v="4"/>
    <s v="Gaspar McGavin"/>
    <s v="gmcgavinhl@histats.com"/>
    <s v="United States"/>
    <s v="Rob"/>
    <s v="L"/>
    <x v="0"/>
    <n v="11.95"/>
    <n v="47.8"/>
    <x v="0"/>
    <x v="1"/>
    <x v="1"/>
  </r>
  <r>
    <s v="KSH-47717-456"/>
    <x v="486"/>
    <s v="74671-55639-TU"/>
    <s v="L-M-1"/>
    <n v="3"/>
    <s v="Lindy Uttermare"/>
    <s v="luttermarehm@engadget.com"/>
    <s v="United States"/>
    <s v="Lib"/>
    <s v="M"/>
    <x v="0"/>
    <n v="14.55"/>
    <n v="43.650000000000006"/>
    <x v="3"/>
    <x v="0"/>
    <x v="1"/>
  </r>
  <r>
    <s v="ANK-59436-446"/>
    <x v="487"/>
    <s v="17488-65879-XL"/>
    <s v="E-L-0.5"/>
    <n v="4"/>
    <s v="Eal D'Ambrogio"/>
    <s v="edambrogiohn@techcrunch.com"/>
    <s v="United States"/>
    <s v="Exc"/>
    <s v="L"/>
    <x v="1"/>
    <n v="8.91"/>
    <n v="35.64"/>
    <x v="1"/>
    <x v="1"/>
    <x v="0"/>
  </r>
  <r>
    <s v="AYY-83051-752"/>
    <x v="488"/>
    <s v="46431-09298-OU"/>
    <s v="L-L-1"/>
    <n v="6"/>
    <s v="Carolee Winchcombe"/>
    <s v="cwinchcombeho@jiathis.com"/>
    <s v="United States"/>
    <s v="Lib"/>
    <s v="L"/>
    <x v="0"/>
    <n v="15.85"/>
    <n v="95.1"/>
    <x v="3"/>
    <x v="1"/>
    <x v="0"/>
  </r>
  <r>
    <s v="CSW-59644-267"/>
    <x v="489"/>
    <s v="60378-26473-FE"/>
    <s v="E-M-2.5"/>
    <n v="1"/>
    <s v="Benedikta Paumier"/>
    <s v="bpaumierhp@umn.edu"/>
    <s v="Ireland"/>
    <s v="Exc"/>
    <s v="M"/>
    <x v="2"/>
    <n v="31.624999999999996"/>
    <n v="31.624999999999996"/>
    <x v="1"/>
    <x v="0"/>
    <x v="0"/>
  </r>
  <r>
    <s v="ITY-92466-909"/>
    <x v="162"/>
    <s v="34927-68586-ZV"/>
    <s v="A-M-2.5"/>
    <n v="3"/>
    <s v="Neville Piatto"/>
    <n v="0"/>
    <s v="Ireland"/>
    <s v="Ara"/>
    <s v="M"/>
    <x v="2"/>
    <n v="25.874999999999996"/>
    <n v="77.624999999999986"/>
    <x v="2"/>
    <x v="0"/>
    <x v="0"/>
  </r>
  <r>
    <s v="IGW-04801-466"/>
    <x v="490"/>
    <s v="29051-27555-GD"/>
    <s v="L-D-0.2"/>
    <n v="1"/>
    <s v="Jeno Capey"/>
    <s v="jcapeyhr@bravesites.com"/>
    <s v="United States"/>
    <s v="Lib"/>
    <s v="D"/>
    <x v="3"/>
    <n v="3.8849999999999998"/>
    <n v="3.8849999999999998"/>
    <x v="3"/>
    <x v="2"/>
    <x v="0"/>
  </r>
  <r>
    <s v="LJN-34281-921"/>
    <x v="491"/>
    <s v="52143-35672-JF"/>
    <s v="R-L-2.5"/>
    <n v="5"/>
    <s v="Tuckie Mathonnet"/>
    <s v="tmathonneti0@google.co.jp"/>
    <s v="United States"/>
    <s v="Rob"/>
    <s v="L"/>
    <x v="2"/>
    <n v="27.484999999999996"/>
    <n v="137.42499999999998"/>
    <x v="0"/>
    <x v="1"/>
    <x v="1"/>
  </r>
  <r>
    <s v="BWZ-46364-547"/>
    <x v="301"/>
    <s v="64918-67725-MN"/>
    <s v="R-L-1"/>
    <n v="3"/>
    <s v="Yardley Basill"/>
    <s v="ybasillht@theguardian.com"/>
    <s v="United States"/>
    <s v="Rob"/>
    <s v="L"/>
    <x v="0"/>
    <n v="11.95"/>
    <n v="35.849999999999994"/>
    <x v="0"/>
    <x v="1"/>
    <x v="0"/>
  </r>
  <r>
    <s v="SBC-95710-706"/>
    <x v="194"/>
    <s v="85634-61759-ND"/>
    <s v="E-M-0.2"/>
    <n v="2"/>
    <s v="Maggy Baistow"/>
    <s v="mbaistowhu@i2i.jp"/>
    <s v="United Kingdom"/>
    <s v="Exc"/>
    <s v="M"/>
    <x v="3"/>
    <n v="4.125"/>
    <n v="8.25"/>
    <x v="1"/>
    <x v="0"/>
    <x v="0"/>
  </r>
  <r>
    <s v="WRN-55114-031"/>
    <x v="26"/>
    <s v="40180-22940-QB"/>
    <s v="E-L-2.5"/>
    <n v="3"/>
    <s v="Courtney Pallant"/>
    <s v="cpallanthv@typepad.com"/>
    <s v="United States"/>
    <s v="Exc"/>
    <s v="L"/>
    <x v="2"/>
    <n v="34.154999999999994"/>
    <n v="102.46499999999997"/>
    <x v="1"/>
    <x v="1"/>
    <x v="0"/>
  </r>
  <r>
    <s v="TZU-64255-831"/>
    <x v="125"/>
    <s v="34666-76738-SQ"/>
    <s v="R-D-2.5"/>
    <n v="2"/>
    <s v="Marne Mingey"/>
    <n v="0"/>
    <s v="United States"/>
    <s v="Rob"/>
    <s v="D"/>
    <x v="2"/>
    <n v="20.584999999999997"/>
    <n v="41.169999999999995"/>
    <x v="0"/>
    <x v="2"/>
    <x v="1"/>
  </r>
  <r>
    <s v="JVF-91003-729"/>
    <x v="492"/>
    <s v="98536-88616-FF"/>
    <s v="A-D-2.5"/>
    <n v="3"/>
    <s v="Denny O' Ronan"/>
    <s v="dohx@redcross.org"/>
    <s v="United States"/>
    <s v="Ara"/>
    <s v="D"/>
    <x v="2"/>
    <n v="22.884999999999998"/>
    <n v="68.655000000000001"/>
    <x v="2"/>
    <x v="2"/>
    <x v="0"/>
  </r>
  <r>
    <s v="MVB-22135-665"/>
    <x v="462"/>
    <s v="55621-06130-SA"/>
    <s v="A-D-1"/>
    <n v="1"/>
    <s v="Dottie Rallin"/>
    <s v="drallinhy@howstuffworks.com"/>
    <s v="United States"/>
    <s v="Ara"/>
    <s v="D"/>
    <x v="0"/>
    <n v="9.9499999999999993"/>
    <n v="9.9499999999999993"/>
    <x v="2"/>
    <x v="2"/>
    <x v="0"/>
  </r>
  <r>
    <s v="CKS-47815-571"/>
    <x v="493"/>
    <s v="45666-86771-EH"/>
    <s v="L-L-0.5"/>
    <n v="3"/>
    <s v="Ardith Chill"/>
    <s v="achillhz@epa.gov"/>
    <s v="United Kingdom"/>
    <s v="Lib"/>
    <s v="L"/>
    <x v="1"/>
    <n v="9.51"/>
    <n v="28.53"/>
    <x v="3"/>
    <x v="1"/>
    <x v="0"/>
  </r>
  <r>
    <s v="OAW-17338-101"/>
    <x v="494"/>
    <s v="52143-35672-JF"/>
    <s v="R-D-0.2"/>
    <n v="6"/>
    <s v="Tuckie Mathonnet"/>
    <s v="tmathonneti0@google.co.jp"/>
    <s v="United States"/>
    <s v="Rob"/>
    <s v="D"/>
    <x v="3"/>
    <n v="2.6849999999999996"/>
    <n v="16.11"/>
    <x v="0"/>
    <x v="2"/>
    <x v="1"/>
  </r>
  <r>
    <s v="ALP-37623-536"/>
    <x v="495"/>
    <s v="24689-69376-XX"/>
    <s v="L-L-1"/>
    <n v="6"/>
    <s v="Charmane Denys"/>
    <s v="cdenysi1@is.gd"/>
    <s v="United Kingdom"/>
    <s v="Lib"/>
    <s v="L"/>
    <x v="0"/>
    <n v="15.85"/>
    <n v="95.1"/>
    <x v="3"/>
    <x v="1"/>
    <x v="1"/>
  </r>
  <r>
    <s v="WMU-87639-108"/>
    <x v="496"/>
    <s v="71891-51101-VQ"/>
    <s v="R-D-0.5"/>
    <n v="1"/>
    <s v="Cecily Stebbings"/>
    <s v="cstebbingsi2@drupal.org"/>
    <s v="United States"/>
    <s v="Rob"/>
    <s v="D"/>
    <x v="1"/>
    <n v="5.3699999999999992"/>
    <n v="5.3699999999999992"/>
    <x v="0"/>
    <x v="2"/>
    <x v="0"/>
  </r>
  <r>
    <s v="USN-44968-231"/>
    <x v="497"/>
    <s v="71749-05400-CN"/>
    <s v="R-L-1"/>
    <n v="4"/>
    <s v="Giana Tonnesen"/>
    <n v="0"/>
    <s v="United States"/>
    <s v="Rob"/>
    <s v="L"/>
    <x v="0"/>
    <n v="11.95"/>
    <n v="47.8"/>
    <x v="0"/>
    <x v="1"/>
    <x v="1"/>
  </r>
  <r>
    <s v="YZG-20575-451"/>
    <x v="498"/>
    <s v="64845-00270-NO"/>
    <s v="L-L-1"/>
    <n v="4"/>
    <s v="Rhetta Zywicki"/>
    <s v="rzywickii4@ifeng.com"/>
    <s v="Ireland"/>
    <s v="Lib"/>
    <s v="L"/>
    <x v="0"/>
    <n v="15.85"/>
    <n v="63.4"/>
    <x v="3"/>
    <x v="1"/>
    <x v="1"/>
  </r>
  <r>
    <s v="HTH-52867-812"/>
    <x v="382"/>
    <s v="29851-36402-UX"/>
    <s v="A-M-2.5"/>
    <n v="4"/>
    <s v="Almeria Burgett"/>
    <s v="aburgetti5@moonfruit.com"/>
    <s v="United States"/>
    <s v="Ara"/>
    <s v="M"/>
    <x v="2"/>
    <n v="25.874999999999996"/>
    <n v="103.49999999999999"/>
    <x v="2"/>
    <x v="0"/>
    <x v="1"/>
  </r>
  <r>
    <s v="FWU-44971-444"/>
    <x v="499"/>
    <s v="12190-25421-WM"/>
    <s v="A-D-2.5"/>
    <n v="3"/>
    <s v="Marvin Malloy"/>
    <s v="mmalloyi6@seattletimes.com"/>
    <s v="United States"/>
    <s v="Ara"/>
    <s v="D"/>
    <x v="2"/>
    <n v="22.884999999999998"/>
    <n v="68.655000000000001"/>
    <x v="2"/>
    <x v="2"/>
    <x v="1"/>
  </r>
  <r>
    <s v="EQI-82205-066"/>
    <x v="500"/>
    <s v="52316-30571-GD"/>
    <s v="R-M-2.5"/>
    <n v="2"/>
    <s v="Maxim McParland"/>
    <s v="mmcparlandi7@w3.org"/>
    <s v="United States"/>
    <s v="Rob"/>
    <s v="M"/>
    <x v="2"/>
    <n v="22.884999999999998"/>
    <n v="45.769999999999996"/>
    <x v="0"/>
    <x v="0"/>
    <x v="0"/>
  </r>
  <r>
    <s v="NAR-00747-074"/>
    <x v="501"/>
    <s v="23243-92649-RY"/>
    <s v="L-D-1"/>
    <n v="4"/>
    <s v="Sylas Jennaroy"/>
    <s v="sjennaroyi8@purevolume.com"/>
    <s v="United States"/>
    <s v="Lib"/>
    <s v="D"/>
    <x v="0"/>
    <n v="12.95"/>
    <n v="51.8"/>
    <x v="3"/>
    <x v="2"/>
    <x v="1"/>
  </r>
  <r>
    <s v="JYR-22052-185"/>
    <x v="502"/>
    <s v="39528-19971-OR"/>
    <s v="A-M-0.5"/>
    <n v="2"/>
    <s v="Wren Place"/>
    <s v="wplacei9@wsj.com"/>
    <s v="United States"/>
    <s v="Ara"/>
    <s v="M"/>
    <x v="1"/>
    <n v="6.75"/>
    <n v="13.5"/>
    <x v="2"/>
    <x v="0"/>
    <x v="0"/>
  </r>
  <r>
    <s v="XKO-54097-932"/>
    <x v="503"/>
    <s v="32743-78448-KT"/>
    <s v="E-M-0.5"/>
    <n v="3"/>
    <s v="Janella Millett"/>
    <s v="jmillettik@addtoany.com"/>
    <s v="United States"/>
    <s v="Exc"/>
    <s v="M"/>
    <x v="1"/>
    <n v="8.25"/>
    <n v="24.75"/>
    <x v="1"/>
    <x v="0"/>
    <x v="0"/>
  </r>
  <r>
    <s v="HXA-72415-025"/>
    <x v="504"/>
    <s v="93417-12322-YB"/>
    <s v="A-D-2.5"/>
    <n v="2"/>
    <s v="Dollie Gadsden"/>
    <s v="dgadsdenib@google.com.hk"/>
    <s v="Ireland"/>
    <s v="Ara"/>
    <s v="D"/>
    <x v="2"/>
    <n v="22.884999999999998"/>
    <n v="45.769999999999996"/>
    <x v="2"/>
    <x v="2"/>
    <x v="0"/>
  </r>
  <r>
    <s v="MJF-20065-335"/>
    <x v="497"/>
    <s v="56891-86662-UY"/>
    <s v="E-L-0.5"/>
    <n v="6"/>
    <s v="Val Wakelin"/>
    <s v="vwakelinic@unesco.org"/>
    <s v="United States"/>
    <s v="Exc"/>
    <s v="L"/>
    <x v="1"/>
    <n v="8.91"/>
    <n v="53.46"/>
    <x v="1"/>
    <x v="1"/>
    <x v="1"/>
  </r>
  <r>
    <s v="GFI-83300-059"/>
    <x v="501"/>
    <s v="40414-26467-VE"/>
    <s v="A-M-0.2"/>
    <n v="6"/>
    <s v="Annie Campsall"/>
    <s v="acampsallid@zimbio.com"/>
    <s v="United States"/>
    <s v="Ara"/>
    <s v="M"/>
    <x v="3"/>
    <n v="3.375"/>
    <n v="20.25"/>
    <x v="2"/>
    <x v="0"/>
    <x v="0"/>
  </r>
  <r>
    <s v="WJR-51493-682"/>
    <x v="1"/>
    <s v="87858-83734-RK"/>
    <s v="L-D-2.5"/>
    <n v="5"/>
    <s v="Shermy Moseby"/>
    <s v="smosebyie@stanford.edu"/>
    <s v="United States"/>
    <s v="Lib"/>
    <s v="D"/>
    <x v="2"/>
    <n v="29.784999999999997"/>
    <n v="148.92499999999998"/>
    <x v="3"/>
    <x v="2"/>
    <x v="1"/>
  </r>
  <r>
    <s v="SHP-55648-472"/>
    <x v="505"/>
    <s v="46818-20198-GB"/>
    <s v="A-M-1"/>
    <n v="6"/>
    <s v="Corrie Wass"/>
    <s v="cwassif@prweb.com"/>
    <s v="United States"/>
    <s v="Ara"/>
    <s v="M"/>
    <x v="0"/>
    <n v="11.25"/>
    <n v="67.5"/>
    <x v="2"/>
    <x v="0"/>
    <x v="1"/>
  </r>
  <r>
    <s v="HYR-03455-684"/>
    <x v="506"/>
    <s v="29808-89098-XD"/>
    <s v="E-D-1"/>
    <n v="6"/>
    <s v="Ira Sjostrom"/>
    <s v="isjostromig@pbs.org"/>
    <s v="United States"/>
    <s v="Exc"/>
    <s v="D"/>
    <x v="0"/>
    <n v="12.15"/>
    <n v="72.900000000000006"/>
    <x v="1"/>
    <x v="2"/>
    <x v="1"/>
  </r>
  <r>
    <s v="HYR-03455-684"/>
    <x v="506"/>
    <s v="29808-89098-XD"/>
    <s v="L-D-0.2"/>
    <n v="2"/>
    <s v="Ira Sjostrom"/>
    <s v="isjostromig@pbs.org"/>
    <s v="United States"/>
    <s v="Lib"/>
    <s v="D"/>
    <x v="3"/>
    <n v="3.8849999999999998"/>
    <n v="7.77"/>
    <x v="3"/>
    <x v="2"/>
    <x v="1"/>
  </r>
  <r>
    <s v="HUG-52766-375"/>
    <x v="507"/>
    <s v="78786-77449-RQ"/>
    <s v="A-D-2.5"/>
    <n v="4"/>
    <s v="Jermaine Branchett"/>
    <s v="jbranchettii@bravesites.com"/>
    <s v="United States"/>
    <s v="Ara"/>
    <s v="D"/>
    <x v="2"/>
    <n v="22.884999999999998"/>
    <n v="91.539999999999992"/>
    <x v="2"/>
    <x v="2"/>
    <x v="1"/>
  </r>
  <r>
    <s v="DAH-46595-917"/>
    <x v="508"/>
    <s v="27878-42224-QF"/>
    <s v="A-D-1"/>
    <n v="6"/>
    <s v="Nissie Rudland"/>
    <s v="nrudlandij@blogs.com"/>
    <s v="Ireland"/>
    <s v="Ara"/>
    <s v="D"/>
    <x v="0"/>
    <n v="9.9499999999999993"/>
    <n v="59.699999999999996"/>
    <x v="2"/>
    <x v="2"/>
    <x v="1"/>
  </r>
  <r>
    <s v="VEM-79839-466"/>
    <x v="509"/>
    <s v="32743-78448-KT"/>
    <s v="R-L-2.5"/>
    <n v="5"/>
    <s v="Janella Millett"/>
    <s v="jmillettik@addtoany.com"/>
    <s v="United States"/>
    <s v="Rob"/>
    <s v="L"/>
    <x v="2"/>
    <n v="27.484999999999996"/>
    <n v="137.42499999999998"/>
    <x v="0"/>
    <x v="1"/>
    <x v="0"/>
  </r>
  <r>
    <s v="OWH-11126-533"/>
    <x v="131"/>
    <s v="25331-13794-SB"/>
    <s v="L-M-2.5"/>
    <n v="2"/>
    <s v="Ferdie Tourry"/>
    <s v="ftourryil@google.de"/>
    <s v="United States"/>
    <s v="Lib"/>
    <s v="M"/>
    <x v="2"/>
    <n v="33.464999999999996"/>
    <n v="66.929999999999993"/>
    <x v="3"/>
    <x v="0"/>
    <x v="1"/>
  </r>
  <r>
    <s v="UMT-26130-151"/>
    <x v="510"/>
    <s v="55864-37682-GQ"/>
    <s v="L-M-0.2"/>
    <n v="3"/>
    <s v="Cecil Weatherall"/>
    <s v="cweatherallim@toplist.cz"/>
    <s v="United States"/>
    <s v="Lib"/>
    <s v="M"/>
    <x v="3"/>
    <n v="4.3650000000000002"/>
    <n v="13.095000000000001"/>
    <x v="3"/>
    <x v="0"/>
    <x v="0"/>
  </r>
  <r>
    <s v="JKA-27899-806"/>
    <x v="511"/>
    <s v="97005-25609-CQ"/>
    <s v="R-L-1"/>
    <n v="5"/>
    <s v="Gale Heindrick"/>
    <s v="gheindrickin@usda.gov"/>
    <s v="United States"/>
    <s v="Rob"/>
    <s v="L"/>
    <x v="0"/>
    <n v="11.95"/>
    <n v="59.75"/>
    <x v="0"/>
    <x v="1"/>
    <x v="1"/>
  </r>
  <r>
    <s v="ULU-07744-724"/>
    <x v="512"/>
    <s v="94058-95794-IJ"/>
    <s v="L-M-0.5"/>
    <n v="5"/>
    <s v="Layne Imason"/>
    <s v="limasonio@discuz.net"/>
    <s v="United States"/>
    <s v="Lib"/>
    <s v="M"/>
    <x v="1"/>
    <n v="8.73"/>
    <n v="43.650000000000006"/>
    <x v="3"/>
    <x v="0"/>
    <x v="0"/>
  </r>
  <r>
    <s v="NOM-56457-507"/>
    <x v="513"/>
    <s v="40214-03678-GU"/>
    <s v="E-M-1"/>
    <n v="6"/>
    <s v="Hazel Saill"/>
    <s v="hsaillip@odnoklassniki.ru"/>
    <s v="United States"/>
    <s v="Exc"/>
    <s v="M"/>
    <x v="0"/>
    <n v="13.75"/>
    <n v="82.5"/>
    <x v="1"/>
    <x v="0"/>
    <x v="0"/>
  </r>
  <r>
    <s v="NZN-71683-705"/>
    <x v="514"/>
    <s v="04921-85445-SL"/>
    <s v="A-L-2.5"/>
    <n v="6"/>
    <s v="Hermann Larvor"/>
    <s v="hlarvoriq@last.fm"/>
    <s v="United States"/>
    <s v="Ara"/>
    <s v="L"/>
    <x v="2"/>
    <n v="29.784999999999997"/>
    <n v="178.70999999999998"/>
    <x v="2"/>
    <x v="1"/>
    <x v="0"/>
  </r>
  <r>
    <s v="WMA-34232-850"/>
    <x v="7"/>
    <s v="53386-94266-LJ"/>
    <s v="L-D-2.5"/>
    <n v="4"/>
    <s v="Terri Lyford"/>
    <n v="0"/>
    <s v="United States"/>
    <s v="Lib"/>
    <s v="D"/>
    <x v="2"/>
    <n v="29.784999999999997"/>
    <n v="119.13999999999999"/>
    <x v="3"/>
    <x v="2"/>
    <x v="0"/>
  </r>
  <r>
    <s v="EZL-27919-704"/>
    <x v="481"/>
    <s v="49480-85909-DG"/>
    <s v="L-L-0.5"/>
    <n v="5"/>
    <s v="Gabey Cogan"/>
    <n v="0"/>
    <s v="United States"/>
    <s v="Lib"/>
    <s v="L"/>
    <x v="1"/>
    <n v="9.51"/>
    <n v="47.55"/>
    <x v="3"/>
    <x v="1"/>
    <x v="1"/>
  </r>
  <r>
    <s v="ZYU-11345-774"/>
    <x v="515"/>
    <s v="18293-78136-MN"/>
    <s v="L-M-0.5"/>
    <n v="5"/>
    <s v="Charin Penwarden"/>
    <s v="cpenwardenit@mlb.com"/>
    <s v="Ireland"/>
    <s v="Lib"/>
    <s v="M"/>
    <x v="1"/>
    <n v="8.73"/>
    <n v="43.650000000000006"/>
    <x v="3"/>
    <x v="0"/>
    <x v="1"/>
  </r>
  <r>
    <s v="CPW-34587-459"/>
    <x v="516"/>
    <s v="84641-67384-TD"/>
    <s v="A-L-2.5"/>
    <n v="6"/>
    <s v="Milty Middis"/>
    <s v="mmiddisiu@dmoz.org"/>
    <s v="United States"/>
    <s v="Ara"/>
    <s v="L"/>
    <x v="2"/>
    <n v="29.784999999999997"/>
    <n v="178.70999999999998"/>
    <x v="2"/>
    <x v="1"/>
    <x v="0"/>
  </r>
  <r>
    <s v="NQZ-82067-394"/>
    <x v="517"/>
    <s v="72320-29738-EB"/>
    <s v="R-L-2.5"/>
    <n v="1"/>
    <s v="Adrianne Vairow"/>
    <s v="avairowiv@studiopress.com"/>
    <s v="United Kingdom"/>
    <s v="Rob"/>
    <s v="L"/>
    <x v="2"/>
    <n v="27.484999999999996"/>
    <n v="27.484999999999996"/>
    <x v="0"/>
    <x v="1"/>
    <x v="1"/>
  </r>
  <r>
    <s v="JBW-95055-851"/>
    <x v="518"/>
    <s v="47355-97488-XS"/>
    <s v="A-M-1"/>
    <n v="5"/>
    <s v="Anjanette Goldie"/>
    <s v="agoldieiw@goo.gl"/>
    <s v="United States"/>
    <s v="Ara"/>
    <s v="M"/>
    <x v="0"/>
    <n v="11.25"/>
    <n v="56.25"/>
    <x v="2"/>
    <x v="0"/>
    <x v="1"/>
  </r>
  <r>
    <s v="AHY-20324-088"/>
    <x v="519"/>
    <s v="63499-24884-PP"/>
    <s v="L-L-0.2"/>
    <n v="2"/>
    <s v="Nicky Ayris"/>
    <s v="nayrisix@t-online.de"/>
    <s v="United Kingdom"/>
    <s v="Lib"/>
    <s v="L"/>
    <x v="3"/>
    <n v="4.7549999999999999"/>
    <n v="9.51"/>
    <x v="3"/>
    <x v="1"/>
    <x v="0"/>
  </r>
  <r>
    <s v="ZSL-66684-103"/>
    <x v="520"/>
    <s v="39193-51770-FM"/>
    <s v="E-M-0.2"/>
    <n v="2"/>
    <s v="Laryssa Benediktovich"/>
    <s v="lbenediktovichiy@wunderground.com"/>
    <s v="United States"/>
    <s v="Exc"/>
    <s v="M"/>
    <x v="3"/>
    <n v="4.125"/>
    <n v="8.25"/>
    <x v="1"/>
    <x v="0"/>
    <x v="0"/>
  </r>
  <r>
    <s v="WNE-73911-475"/>
    <x v="521"/>
    <s v="61323-91967-GG"/>
    <s v="L-D-0.5"/>
    <n v="6"/>
    <s v="Theo Jacobovitz"/>
    <s v="tjacobovitziz@cbc.ca"/>
    <s v="United States"/>
    <s v="Lib"/>
    <s v="D"/>
    <x v="1"/>
    <n v="7.77"/>
    <n v="46.62"/>
    <x v="3"/>
    <x v="2"/>
    <x v="1"/>
  </r>
  <r>
    <s v="EZB-68383-559"/>
    <x v="418"/>
    <s v="90123-01967-KS"/>
    <s v="R-L-1"/>
    <n v="6"/>
    <s v="Becca Ableson"/>
    <n v="0"/>
    <s v="United States"/>
    <s v="Rob"/>
    <s v="L"/>
    <x v="0"/>
    <n v="11.95"/>
    <n v="71.699999999999989"/>
    <x v="0"/>
    <x v="1"/>
    <x v="1"/>
  </r>
  <r>
    <s v="OVO-01283-090"/>
    <x v="122"/>
    <s v="15958-25089-OS"/>
    <s v="L-L-2.5"/>
    <n v="2"/>
    <s v="Jeno Druitt"/>
    <s v="jdruittj1@feedburner.com"/>
    <s v="United States"/>
    <s v="Lib"/>
    <s v="L"/>
    <x v="2"/>
    <n v="36.454999999999998"/>
    <n v="72.91"/>
    <x v="3"/>
    <x v="1"/>
    <x v="0"/>
  </r>
  <r>
    <s v="TXH-78646-919"/>
    <x v="423"/>
    <s v="98430-37820-UV"/>
    <s v="R-D-0.2"/>
    <n v="3"/>
    <s v="Deonne Shortall"/>
    <s v="dshortallj2@wikipedia.org"/>
    <s v="United States"/>
    <s v="Rob"/>
    <s v="D"/>
    <x v="3"/>
    <n v="2.6849999999999996"/>
    <n v="8.0549999999999997"/>
    <x v="0"/>
    <x v="2"/>
    <x v="0"/>
  </r>
  <r>
    <s v="CYZ-37122-164"/>
    <x v="463"/>
    <s v="21798-04171-XC"/>
    <s v="E-M-0.5"/>
    <n v="2"/>
    <s v="Wilton Cottier"/>
    <s v="wcottierj3@cafepress.com"/>
    <s v="United States"/>
    <s v="Exc"/>
    <s v="M"/>
    <x v="1"/>
    <n v="8.25"/>
    <n v="16.5"/>
    <x v="1"/>
    <x v="0"/>
    <x v="1"/>
  </r>
  <r>
    <s v="AGQ-06534-750"/>
    <x v="273"/>
    <s v="52798-46508-HP"/>
    <s v="A-L-1"/>
    <n v="5"/>
    <s v="Kevan Grinsted"/>
    <s v="kgrinstedj4@google.com.br"/>
    <s v="Ireland"/>
    <s v="Ara"/>
    <s v="L"/>
    <x v="0"/>
    <n v="12.95"/>
    <n v="64.75"/>
    <x v="2"/>
    <x v="1"/>
    <x v="1"/>
  </r>
  <r>
    <s v="QVL-32245-818"/>
    <x v="522"/>
    <s v="46478-42970-EM"/>
    <s v="A-M-0.5"/>
    <n v="5"/>
    <s v="Dionne Skyner"/>
    <s v="dskynerj5@hubpages.com"/>
    <s v="United States"/>
    <s v="Ara"/>
    <s v="M"/>
    <x v="1"/>
    <n v="6.75"/>
    <n v="33.75"/>
    <x v="2"/>
    <x v="0"/>
    <x v="1"/>
  </r>
  <r>
    <s v="LTD-96842-834"/>
    <x v="523"/>
    <s v="00246-15080-LE"/>
    <s v="L-D-2.5"/>
    <n v="6"/>
    <s v="Francesco Dressel"/>
    <n v="0"/>
    <s v="United States"/>
    <s v="Lib"/>
    <s v="D"/>
    <x v="2"/>
    <n v="29.784999999999997"/>
    <n v="178.70999999999998"/>
    <x v="3"/>
    <x v="2"/>
    <x v="1"/>
  </r>
  <r>
    <s v="SEC-91807-425"/>
    <x v="260"/>
    <s v="94091-86957-HX"/>
    <s v="A-M-1"/>
    <n v="2"/>
    <s v="Jimmy Dymoke"/>
    <s v="jdymokeje@prnewswire.com"/>
    <s v="Ireland"/>
    <s v="Ara"/>
    <s v="M"/>
    <x v="0"/>
    <n v="11.25"/>
    <n v="22.5"/>
    <x v="2"/>
    <x v="0"/>
    <x v="1"/>
  </r>
  <r>
    <s v="MHM-44857-599"/>
    <x v="331"/>
    <s v="26295-44907-DK"/>
    <s v="L-D-1"/>
    <n v="1"/>
    <s v="Ambrosio Weinmann"/>
    <s v="aweinmannj8@shinystat.com"/>
    <s v="United States"/>
    <s v="Lib"/>
    <s v="D"/>
    <x v="0"/>
    <n v="12.95"/>
    <n v="12.95"/>
    <x v="3"/>
    <x v="2"/>
    <x v="1"/>
  </r>
  <r>
    <s v="KGC-95046-911"/>
    <x v="524"/>
    <s v="95351-96177-QV"/>
    <s v="A-M-2.5"/>
    <n v="2"/>
    <s v="Elden Andriessen"/>
    <s v="eandriessenj9@europa.eu"/>
    <s v="United States"/>
    <s v="Ara"/>
    <s v="M"/>
    <x v="2"/>
    <n v="25.874999999999996"/>
    <n v="51.749999999999993"/>
    <x v="2"/>
    <x v="0"/>
    <x v="0"/>
  </r>
  <r>
    <s v="RZC-75150-413"/>
    <x v="525"/>
    <s v="92204-96636-BS"/>
    <s v="E-D-0.5"/>
    <n v="5"/>
    <s v="Roxie Deaconson"/>
    <s v="rdeaconsonja@archive.org"/>
    <s v="United States"/>
    <s v="Exc"/>
    <s v="D"/>
    <x v="1"/>
    <n v="7.29"/>
    <n v="36.450000000000003"/>
    <x v="1"/>
    <x v="2"/>
    <x v="1"/>
  </r>
  <r>
    <s v="EYH-88288-452"/>
    <x v="526"/>
    <s v="03010-30348-UA"/>
    <s v="L-L-2.5"/>
    <n v="5"/>
    <s v="Davida Caro"/>
    <s v="dcarojb@twitter.com"/>
    <s v="United States"/>
    <s v="Lib"/>
    <s v="L"/>
    <x v="2"/>
    <n v="36.454999999999998"/>
    <n v="182.27499999999998"/>
    <x v="3"/>
    <x v="1"/>
    <x v="0"/>
  </r>
  <r>
    <s v="NYQ-24237-772"/>
    <x v="104"/>
    <s v="13441-34686-SW"/>
    <s v="L-D-0.5"/>
    <n v="4"/>
    <s v="Johna Bluck"/>
    <s v="jbluckjc@imageshack.us"/>
    <s v="United States"/>
    <s v="Lib"/>
    <s v="D"/>
    <x v="1"/>
    <n v="7.77"/>
    <n v="31.08"/>
    <x v="3"/>
    <x v="2"/>
    <x v="1"/>
  </r>
  <r>
    <s v="WKB-21680-566"/>
    <x v="491"/>
    <s v="96612-41722-VJ"/>
    <s v="A-M-0.5"/>
    <n v="3"/>
    <s v="Myrle Dearden"/>
    <n v="0"/>
    <s v="Ireland"/>
    <s v="Ara"/>
    <s v="M"/>
    <x v="1"/>
    <n v="6.75"/>
    <n v="20.25"/>
    <x v="2"/>
    <x v="0"/>
    <x v="1"/>
  </r>
  <r>
    <s v="THE-61147-027"/>
    <x v="157"/>
    <s v="94091-86957-HX"/>
    <s v="L-D-1"/>
    <n v="2"/>
    <s v="Jimmy Dymoke"/>
    <s v="jdymokeje@prnewswire.com"/>
    <s v="Ireland"/>
    <s v="Lib"/>
    <s v="D"/>
    <x v="0"/>
    <n v="12.95"/>
    <n v="25.9"/>
    <x v="3"/>
    <x v="2"/>
    <x v="1"/>
  </r>
  <r>
    <s v="PTY-86420-119"/>
    <x v="527"/>
    <s v="25504-41681-WA"/>
    <s v="A-D-0.5"/>
    <n v="4"/>
    <s v="Orland Tadman"/>
    <s v="otadmanjf@ft.com"/>
    <s v="United States"/>
    <s v="Ara"/>
    <s v="D"/>
    <x v="1"/>
    <n v="5.97"/>
    <n v="23.88"/>
    <x v="2"/>
    <x v="2"/>
    <x v="0"/>
  </r>
  <r>
    <s v="QHL-27188-431"/>
    <x v="528"/>
    <s v="75443-07820-DZ"/>
    <s v="L-L-0.5"/>
    <n v="2"/>
    <s v="Barrett Gudde"/>
    <s v="bguddejg@dailymotion.com"/>
    <s v="United States"/>
    <s v="Lib"/>
    <s v="L"/>
    <x v="1"/>
    <n v="9.51"/>
    <n v="19.02"/>
    <x v="3"/>
    <x v="1"/>
    <x v="1"/>
  </r>
  <r>
    <s v="MIS-54381-047"/>
    <x v="99"/>
    <s v="39276-95489-XV"/>
    <s v="A-D-0.5"/>
    <n v="5"/>
    <s v="Nathan Sictornes"/>
    <s v="nsictornesjh@buzzfeed.com"/>
    <s v="Ireland"/>
    <s v="Ara"/>
    <s v="D"/>
    <x v="1"/>
    <n v="5.97"/>
    <n v="29.849999999999998"/>
    <x v="2"/>
    <x v="2"/>
    <x v="0"/>
  </r>
  <r>
    <s v="TBB-29780-459"/>
    <x v="529"/>
    <s v="61437-83623-PZ"/>
    <s v="A-L-0.5"/>
    <n v="1"/>
    <s v="Vivyan Dunning"/>
    <s v="vdunningji@independent.co.uk"/>
    <s v="United States"/>
    <s v="Ara"/>
    <s v="L"/>
    <x v="1"/>
    <n v="7.77"/>
    <n v="7.77"/>
    <x v="2"/>
    <x v="1"/>
    <x v="0"/>
  </r>
  <r>
    <s v="QLC-52637-305"/>
    <x v="530"/>
    <s v="34317-87258-HQ"/>
    <s v="L-D-2.5"/>
    <n v="4"/>
    <s v="Doralin Baison"/>
    <n v="0"/>
    <s v="Ireland"/>
    <s v="Lib"/>
    <s v="D"/>
    <x v="2"/>
    <n v="29.784999999999997"/>
    <n v="119.13999999999999"/>
    <x v="3"/>
    <x v="2"/>
    <x v="0"/>
  </r>
  <r>
    <s v="CWT-27056-328"/>
    <x v="531"/>
    <s v="18570-80998-ZS"/>
    <s v="E-D-0.2"/>
    <n v="6"/>
    <s v="Josefina Ferens"/>
    <n v="0"/>
    <s v="United States"/>
    <s v="Exc"/>
    <s v="D"/>
    <x v="3"/>
    <n v="3.645"/>
    <n v="21.87"/>
    <x v="1"/>
    <x v="2"/>
    <x v="0"/>
  </r>
  <r>
    <s v="ASS-05878-128"/>
    <x v="210"/>
    <s v="66580-33745-OQ"/>
    <s v="E-L-0.5"/>
    <n v="2"/>
    <s v="Shelley Gehring"/>
    <s v="sgehringjl@gnu.org"/>
    <s v="United States"/>
    <s v="Exc"/>
    <s v="L"/>
    <x v="1"/>
    <n v="8.91"/>
    <n v="17.82"/>
    <x v="1"/>
    <x v="1"/>
    <x v="1"/>
  </r>
  <r>
    <s v="EGK-03027-418"/>
    <x v="532"/>
    <s v="19820-29285-FD"/>
    <s v="E-M-0.2"/>
    <n v="3"/>
    <s v="Barrie Fallowes"/>
    <s v="bfallowesjm@purevolume.com"/>
    <s v="United States"/>
    <s v="Exc"/>
    <s v="M"/>
    <x v="3"/>
    <n v="4.125"/>
    <n v="12.375"/>
    <x v="1"/>
    <x v="0"/>
    <x v="1"/>
  </r>
  <r>
    <s v="KCY-61732-849"/>
    <x v="533"/>
    <s v="11349-55147-SN"/>
    <s v="L-D-1"/>
    <n v="2"/>
    <s v="Nicolas Aiton"/>
    <n v="0"/>
    <s v="Ireland"/>
    <s v="Lib"/>
    <s v="D"/>
    <x v="0"/>
    <n v="12.95"/>
    <n v="25.9"/>
    <x v="3"/>
    <x v="2"/>
    <x v="1"/>
  </r>
  <r>
    <s v="BLI-21697-702"/>
    <x v="534"/>
    <s v="21141-12455-VB"/>
    <s v="A-M-0.5"/>
    <n v="2"/>
    <s v="Shelli De Banke"/>
    <s v="sdejo@newsvine.com"/>
    <s v="United States"/>
    <s v="Ara"/>
    <s v="M"/>
    <x v="1"/>
    <n v="6.75"/>
    <n v="13.5"/>
    <x v="2"/>
    <x v="0"/>
    <x v="0"/>
  </r>
  <r>
    <s v="KFJ-46568-890"/>
    <x v="535"/>
    <s v="71003-85639-HB"/>
    <s v="E-L-0.5"/>
    <n v="2"/>
    <s v="Lyell Murch"/>
    <n v="0"/>
    <s v="United States"/>
    <s v="Exc"/>
    <s v="L"/>
    <x v="1"/>
    <n v="8.91"/>
    <n v="17.82"/>
    <x v="1"/>
    <x v="1"/>
    <x v="0"/>
  </r>
  <r>
    <s v="SOK-43535-680"/>
    <x v="536"/>
    <s v="58443-95866-YO"/>
    <s v="E-M-0.5"/>
    <n v="3"/>
    <s v="Stearne Count"/>
    <s v="scountjq@nba.com"/>
    <s v="United States"/>
    <s v="Exc"/>
    <s v="M"/>
    <x v="1"/>
    <n v="8.25"/>
    <n v="24.75"/>
    <x v="1"/>
    <x v="0"/>
    <x v="1"/>
  </r>
  <r>
    <s v="XUE-87260-201"/>
    <x v="537"/>
    <s v="89646-21249-OH"/>
    <s v="R-M-0.2"/>
    <n v="6"/>
    <s v="Selia Ragles"/>
    <s v="sraglesjr@blogtalkradio.com"/>
    <s v="United States"/>
    <s v="Rob"/>
    <s v="M"/>
    <x v="3"/>
    <n v="2.9849999999999999"/>
    <n v="17.91"/>
    <x v="0"/>
    <x v="0"/>
    <x v="1"/>
  </r>
  <r>
    <s v="CZF-40873-691"/>
    <x v="61"/>
    <s v="64988-20636-XQ"/>
    <s v="E-M-0.5"/>
    <n v="2"/>
    <s v="Silas Deehan"/>
    <n v="0"/>
    <s v="United Kingdom"/>
    <s v="Exc"/>
    <s v="M"/>
    <x v="1"/>
    <n v="8.25"/>
    <n v="16.5"/>
    <x v="1"/>
    <x v="0"/>
    <x v="1"/>
  </r>
  <r>
    <s v="AIA-98989-755"/>
    <x v="242"/>
    <s v="34704-83143-KS"/>
    <s v="R-M-0.2"/>
    <n v="1"/>
    <s v="Sacha Bruun"/>
    <s v="sbruunjt@blogtalkradio.com"/>
    <s v="United States"/>
    <s v="Rob"/>
    <s v="M"/>
    <x v="3"/>
    <n v="2.9849999999999999"/>
    <n v="2.9849999999999999"/>
    <x v="0"/>
    <x v="0"/>
    <x v="1"/>
  </r>
  <r>
    <s v="ITZ-21793-986"/>
    <x v="299"/>
    <s v="67388-17544-XX"/>
    <s v="E-D-0.2"/>
    <n v="4"/>
    <s v="Alon Pllu"/>
    <s v="aplluju@dagondesign.com"/>
    <s v="Ireland"/>
    <s v="Exc"/>
    <s v="D"/>
    <x v="3"/>
    <n v="3.645"/>
    <n v="14.58"/>
    <x v="1"/>
    <x v="2"/>
    <x v="0"/>
  </r>
  <r>
    <s v="YOK-93322-608"/>
    <x v="343"/>
    <s v="69411-48470-ID"/>
    <s v="E-L-1"/>
    <n v="6"/>
    <s v="Gilberto Cornier"/>
    <s v="gcornierjv@techcrunch.com"/>
    <s v="United States"/>
    <s v="Exc"/>
    <s v="L"/>
    <x v="0"/>
    <n v="14.85"/>
    <n v="89.1"/>
    <x v="1"/>
    <x v="1"/>
    <x v="1"/>
  </r>
  <r>
    <s v="LXK-00634-611"/>
    <x v="538"/>
    <s v="94091-86957-HX"/>
    <s v="R-L-1"/>
    <n v="3"/>
    <s v="Jimmy Dymoke"/>
    <s v="jdymokeje@prnewswire.com"/>
    <s v="Ireland"/>
    <s v="Rob"/>
    <s v="L"/>
    <x v="0"/>
    <n v="11.95"/>
    <n v="35.849999999999994"/>
    <x v="0"/>
    <x v="1"/>
    <x v="1"/>
  </r>
  <r>
    <s v="CQW-37388-302"/>
    <x v="539"/>
    <s v="97741-98924-KT"/>
    <s v="A-D-2.5"/>
    <n v="3"/>
    <s v="Willabella Harvison"/>
    <s v="wharvisonjx@gizmodo.com"/>
    <s v="United States"/>
    <s v="Ara"/>
    <s v="D"/>
    <x v="2"/>
    <n v="22.884999999999998"/>
    <n v="68.655000000000001"/>
    <x v="2"/>
    <x v="2"/>
    <x v="1"/>
  </r>
  <r>
    <s v="SPA-79365-334"/>
    <x v="27"/>
    <s v="79857-78167-KO"/>
    <s v="L-D-1"/>
    <n v="3"/>
    <s v="Darice Heaford"/>
    <s v="dheafordjy@twitpic.com"/>
    <s v="United States"/>
    <s v="Lib"/>
    <s v="D"/>
    <x v="0"/>
    <n v="12.95"/>
    <n v="38.849999999999994"/>
    <x v="3"/>
    <x v="2"/>
    <x v="1"/>
  </r>
  <r>
    <s v="VPX-08817-517"/>
    <x v="540"/>
    <s v="46963-10322-ZA"/>
    <s v="L-L-1"/>
    <n v="5"/>
    <s v="Granger Fantham"/>
    <s v="gfanthamjz@hexun.com"/>
    <s v="United States"/>
    <s v="Lib"/>
    <s v="L"/>
    <x v="0"/>
    <n v="15.85"/>
    <n v="79.25"/>
    <x v="3"/>
    <x v="1"/>
    <x v="0"/>
  </r>
  <r>
    <s v="PBP-87115-410"/>
    <x v="541"/>
    <s v="93812-74772-MV"/>
    <s v="E-D-0.5"/>
    <n v="5"/>
    <s v="Reynolds Crookshanks"/>
    <s v="rcrookshanksk0@unc.edu"/>
    <s v="United States"/>
    <s v="Exc"/>
    <s v="D"/>
    <x v="1"/>
    <n v="7.29"/>
    <n v="36.450000000000003"/>
    <x v="1"/>
    <x v="2"/>
    <x v="0"/>
  </r>
  <r>
    <s v="SFB-93752-440"/>
    <x v="390"/>
    <s v="48203-23480-UB"/>
    <s v="R-M-0.2"/>
    <n v="3"/>
    <s v="Niels Leake"/>
    <s v="nleakek1@cmu.edu"/>
    <s v="United States"/>
    <s v="Rob"/>
    <s v="M"/>
    <x v="3"/>
    <n v="2.9849999999999999"/>
    <n v="8.9550000000000001"/>
    <x v="0"/>
    <x v="0"/>
    <x v="0"/>
  </r>
  <r>
    <s v="TBU-65158-068"/>
    <x v="396"/>
    <s v="60357-65386-RD"/>
    <s v="E-D-1"/>
    <n v="2"/>
    <s v="Hetti Measures"/>
    <n v="0"/>
    <s v="United States"/>
    <s v="Exc"/>
    <s v="D"/>
    <x v="0"/>
    <n v="12.15"/>
    <n v="24.3"/>
    <x v="1"/>
    <x v="2"/>
    <x v="1"/>
  </r>
  <r>
    <s v="TEH-08414-216"/>
    <x v="185"/>
    <s v="35099-13971-JI"/>
    <s v="E-M-2.5"/>
    <n v="2"/>
    <s v="Gay Eilhersen"/>
    <s v="geilhersenk3@networksolutions.com"/>
    <s v="United States"/>
    <s v="Exc"/>
    <s v="M"/>
    <x v="2"/>
    <n v="31.624999999999996"/>
    <n v="63.249999999999993"/>
    <x v="1"/>
    <x v="0"/>
    <x v="1"/>
  </r>
  <r>
    <s v="MAY-77231-536"/>
    <x v="542"/>
    <s v="01304-59807-OB"/>
    <s v="A-M-0.2"/>
    <n v="2"/>
    <s v="Nico Hubert"/>
    <n v="0"/>
    <s v="United States"/>
    <s v="Ara"/>
    <s v="M"/>
    <x v="3"/>
    <n v="3.375"/>
    <n v="6.75"/>
    <x v="2"/>
    <x v="0"/>
    <x v="0"/>
  </r>
  <r>
    <s v="ATY-28980-884"/>
    <x v="117"/>
    <s v="50705-17295-NK"/>
    <s v="A-L-0.2"/>
    <n v="6"/>
    <s v="Cristina Aleixo"/>
    <s v="caleixok5@globo.com"/>
    <s v="United States"/>
    <s v="Ara"/>
    <s v="L"/>
    <x v="3"/>
    <n v="3.8849999999999998"/>
    <n v="23.31"/>
    <x v="2"/>
    <x v="1"/>
    <x v="1"/>
  </r>
  <r>
    <s v="SWP-88281-918"/>
    <x v="543"/>
    <s v="77657-61366-FY"/>
    <s v="L-L-2.5"/>
    <n v="4"/>
    <s v="Derrek Allpress"/>
    <n v="0"/>
    <s v="United States"/>
    <s v="Lib"/>
    <s v="L"/>
    <x v="2"/>
    <n v="36.454999999999998"/>
    <n v="145.82"/>
    <x v="3"/>
    <x v="1"/>
    <x v="1"/>
  </r>
  <r>
    <s v="VCE-56531-986"/>
    <x v="544"/>
    <s v="57192-13428-PL"/>
    <s v="R-M-0.5"/>
    <n v="5"/>
    <s v="Rikki Tomkowicz"/>
    <s v="rtomkowiczk7@bravesites.com"/>
    <s v="Ireland"/>
    <s v="Rob"/>
    <s v="M"/>
    <x v="1"/>
    <n v="5.97"/>
    <n v="29.849999999999998"/>
    <x v="0"/>
    <x v="0"/>
    <x v="0"/>
  </r>
  <r>
    <s v="FVV-75700-005"/>
    <x v="545"/>
    <s v="24891-77957-LU"/>
    <s v="E-D-0.5"/>
    <n v="3"/>
    <s v="Rochette Huscroft"/>
    <s v="rhuscroftk8@jimdo.com"/>
    <s v="United States"/>
    <s v="Exc"/>
    <s v="D"/>
    <x v="1"/>
    <n v="7.29"/>
    <n v="21.87"/>
    <x v="1"/>
    <x v="2"/>
    <x v="0"/>
  </r>
  <r>
    <s v="CFZ-53492-600"/>
    <x v="546"/>
    <s v="64896-18468-BT"/>
    <s v="L-M-0.2"/>
    <n v="1"/>
    <s v="Selle Scurrer"/>
    <s v="sscurrerk9@flavors.me"/>
    <s v="United Kingdom"/>
    <s v="Lib"/>
    <s v="M"/>
    <x v="3"/>
    <n v="4.3650000000000002"/>
    <n v="4.3650000000000002"/>
    <x v="3"/>
    <x v="0"/>
    <x v="1"/>
  </r>
  <r>
    <s v="LDK-71031-121"/>
    <x v="420"/>
    <s v="84761-40784-SV"/>
    <s v="L-L-2.5"/>
    <n v="1"/>
    <s v="Andie Rudram"/>
    <s v="arudramka@prnewswire.com"/>
    <s v="United States"/>
    <s v="Lib"/>
    <s v="L"/>
    <x v="2"/>
    <n v="36.454999999999998"/>
    <n v="36.454999999999998"/>
    <x v="3"/>
    <x v="1"/>
    <x v="1"/>
  </r>
  <r>
    <s v="EBA-82404-343"/>
    <x v="547"/>
    <s v="20236-42322-CM"/>
    <s v="L-D-0.2"/>
    <n v="4"/>
    <s v="Leta Clarricoates"/>
    <n v="0"/>
    <s v="United States"/>
    <s v="Lib"/>
    <s v="D"/>
    <x v="3"/>
    <n v="3.8849999999999998"/>
    <n v="15.54"/>
    <x v="3"/>
    <x v="2"/>
    <x v="0"/>
  </r>
  <r>
    <s v="USA-42811-560"/>
    <x v="548"/>
    <s v="49671-11547-WG"/>
    <s v="E-L-0.2"/>
    <n v="2"/>
    <s v="Jacquelyn Maha"/>
    <s v="jmahakc@cyberchimps.com"/>
    <s v="United States"/>
    <s v="Exc"/>
    <s v="L"/>
    <x v="3"/>
    <n v="4.4550000000000001"/>
    <n v="8.91"/>
    <x v="1"/>
    <x v="1"/>
    <x v="1"/>
  </r>
  <r>
    <s v="SNL-83703-516"/>
    <x v="549"/>
    <s v="57976-33535-WK"/>
    <s v="L-M-2.5"/>
    <n v="3"/>
    <s v="Glory Clemon"/>
    <s v="gclemonkd@networksolutions.com"/>
    <s v="United States"/>
    <s v="Lib"/>
    <s v="M"/>
    <x v="2"/>
    <n v="33.464999999999996"/>
    <n v="100.39499999999998"/>
    <x v="3"/>
    <x v="0"/>
    <x v="0"/>
  </r>
  <r>
    <s v="SUZ-83036-175"/>
    <x v="550"/>
    <s v="55915-19477-MK"/>
    <s v="R-D-0.2"/>
    <n v="5"/>
    <s v="Alica Kift"/>
    <n v="0"/>
    <s v="United States"/>
    <s v="Rob"/>
    <s v="D"/>
    <x v="3"/>
    <n v="2.6849999999999996"/>
    <n v="13.424999999999997"/>
    <x v="0"/>
    <x v="2"/>
    <x v="1"/>
  </r>
  <r>
    <s v="RGM-01187-513"/>
    <x v="551"/>
    <s v="28121-11641-UA"/>
    <s v="E-D-0.2"/>
    <n v="6"/>
    <s v="Babb Pollins"/>
    <s v="bpollinskf@shinystat.com"/>
    <s v="United States"/>
    <s v="Exc"/>
    <s v="D"/>
    <x v="3"/>
    <n v="3.645"/>
    <n v="21.87"/>
    <x v="1"/>
    <x v="2"/>
    <x v="1"/>
  </r>
  <r>
    <s v="CZG-01299-952"/>
    <x v="552"/>
    <s v="09540-70637-EV"/>
    <s v="L-D-1"/>
    <n v="2"/>
    <s v="Jarret Toye"/>
    <s v="jtoyekg@pinterest.com"/>
    <s v="Ireland"/>
    <s v="Lib"/>
    <s v="D"/>
    <x v="0"/>
    <n v="12.95"/>
    <n v="25.9"/>
    <x v="3"/>
    <x v="2"/>
    <x v="0"/>
  </r>
  <r>
    <s v="KLD-88731-484"/>
    <x v="553"/>
    <s v="17775-77072-PP"/>
    <s v="A-M-1"/>
    <n v="5"/>
    <s v="Carlie Linskill"/>
    <s v="clinskillkh@sphinn.com"/>
    <s v="United States"/>
    <s v="Ara"/>
    <s v="M"/>
    <x v="0"/>
    <n v="11.25"/>
    <n v="56.25"/>
    <x v="2"/>
    <x v="0"/>
    <x v="1"/>
  </r>
  <r>
    <s v="BQK-38412-229"/>
    <x v="554"/>
    <s v="90392-73338-BC"/>
    <s v="R-L-0.2"/>
    <n v="3"/>
    <s v="Natal Vigrass"/>
    <s v="nvigrasski@ezinearticles.com"/>
    <s v="United Kingdom"/>
    <s v="Rob"/>
    <s v="L"/>
    <x v="3"/>
    <n v="3.5849999999999995"/>
    <n v="10.754999999999999"/>
    <x v="0"/>
    <x v="1"/>
    <x v="1"/>
  </r>
  <r>
    <s v="TCX-76953-071"/>
    <x v="555"/>
    <s v="94091-86957-HX"/>
    <s v="E-D-0.2"/>
    <n v="5"/>
    <s v="Jimmy Dymoke"/>
    <s v="jdymokeje@prnewswire.com"/>
    <s v="Ireland"/>
    <s v="Exc"/>
    <s v="D"/>
    <x v="3"/>
    <n v="3.645"/>
    <n v="18.225000000000001"/>
    <x v="1"/>
    <x v="2"/>
    <x v="1"/>
  </r>
  <r>
    <s v="LIN-88046-551"/>
    <x v="150"/>
    <s v="10725-45724-CO"/>
    <s v="R-L-0.5"/>
    <n v="4"/>
    <s v="Kandace Cragell"/>
    <s v="kcragellkk@google.com"/>
    <s v="Ireland"/>
    <s v="Rob"/>
    <s v="L"/>
    <x v="1"/>
    <n v="7.169999999999999"/>
    <n v="28.679999999999996"/>
    <x v="0"/>
    <x v="1"/>
    <x v="1"/>
  </r>
  <r>
    <s v="PMV-54491-220"/>
    <x v="556"/>
    <s v="87242-18006-IR"/>
    <s v="L-M-0.2"/>
    <n v="2"/>
    <s v="Lyon Ibert"/>
    <s v="libertkl@huffingtonpost.com"/>
    <s v="United States"/>
    <s v="Lib"/>
    <s v="M"/>
    <x v="3"/>
    <n v="4.3650000000000002"/>
    <n v="8.73"/>
    <x v="3"/>
    <x v="0"/>
    <x v="1"/>
  </r>
  <r>
    <s v="SKA-73676-005"/>
    <x v="327"/>
    <s v="36572-91896-PP"/>
    <s v="L-M-1"/>
    <n v="4"/>
    <s v="Reese Lidgey"/>
    <s v="rlidgeykm@vimeo.com"/>
    <s v="United States"/>
    <s v="Lib"/>
    <s v="M"/>
    <x v="0"/>
    <n v="14.55"/>
    <n v="58.2"/>
    <x v="3"/>
    <x v="0"/>
    <x v="1"/>
  </r>
  <r>
    <s v="TKH-62197-239"/>
    <x v="557"/>
    <s v="25181-97933-UX"/>
    <s v="A-D-0.5"/>
    <n v="3"/>
    <s v="Tersina Castagne"/>
    <s v="tcastagnekn@wikia.com"/>
    <s v="United States"/>
    <s v="Ara"/>
    <s v="D"/>
    <x v="1"/>
    <n v="5.97"/>
    <n v="17.91"/>
    <x v="2"/>
    <x v="2"/>
    <x v="1"/>
  </r>
  <r>
    <s v="YXF-57218-272"/>
    <x v="333"/>
    <s v="55374-03175-IA"/>
    <s v="R-M-0.2"/>
    <n v="6"/>
    <s v="Samuele Klaaassen"/>
    <n v="0"/>
    <s v="United States"/>
    <s v="Rob"/>
    <s v="M"/>
    <x v="3"/>
    <n v="2.9849999999999999"/>
    <n v="17.91"/>
    <x v="0"/>
    <x v="0"/>
    <x v="0"/>
  </r>
  <r>
    <s v="PKJ-30083-501"/>
    <x v="558"/>
    <s v="76948-43532-JS"/>
    <s v="E-D-0.5"/>
    <n v="2"/>
    <s v="Jordana Halden"/>
    <s v="jhaldenkp@comcast.net"/>
    <s v="Ireland"/>
    <s v="Exc"/>
    <s v="D"/>
    <x v="1"/>
    <n v="7.29"/>
    <n v="14.58"/>
    <x v="1"/>
    <x v="2"/>
    <x v="1"/>
  </r>
  <r>
    <s v="WTT-91832-645"/>
    <x v="559"/>
    <s v="24344-88599-PP"/>
    <s v="A-M-1"/>
    <n v="3"/>
    <s v="Hussein Olliff"/>
    <s v="holliffkq@sciencedirect.com"/>
    <s v="Ireland"/>
    <s v="Ara"/>
    <s v="M"/>
    <x v="0"/>
    <n v="11.25"/>
    <n v="33.75"/>
    <x v="2"/>
    <x v="0"/>
    <x v="1"/>
  </r>
  <r>
    <s v="TRZ-94735-865"/>
    <x v="310"/>
    <s v="54462-58311-YF"/>
    <s v="L-M-0.5"/>
    <n v="4"/>
    <s v="Teddi Quadri"/>
    <s v="tquadrikr@opensource.org"/>
    <s v="Ireland"/>
    <s v="Lib"/>
    <s v="M"/>
    <x v="1"/>
    <n v="8.73"/>
    <n v="34.92"/>
    <x v="3"/>
    <x v="0"/>
    <x v="0"/>
  </r>
  <r>
    <s v="UDB-09651-780"/>
    <x v="560"/>
    <s v="90767-92589-LV"/>
    <s v="E-D-0.5"/>
    <n v="2"/>
    <s v="Felita Eshmade"/>
    <s v="feshmadeks@umn.edu"/>
    <s v="United States"/>
    <s v="Exc"/>
    <s v="D"/>
    <x v="1"/>
    <n v="7.29"/>
    <n v="14.58"/>
    <x v="1"/>
    <x v="2"/>
    <x v="1"/>
  </r>
  <r>
    <s v="EHJ-82097-549"/>
    <x v="561"/>
    <s v="27517-43747-YD"/>
    <s v="R-D-0.2"/>
    <n v="2"/>
    <s v="Melodie OIlier"/>
    <s v="moilierkt@paginegialle.it"/>
    <s v="Ireland"/>
    <s v="Rob"/>
    <s v="D"/>
    <x v="3"/>
    <n v="2.6849999999999996"/>
    <n v="5.3699999999999992"/>
    <x v="0"/>
    <x v="2"/>
    <x v="0"/>
  </r>
  <r>
    <s v="ZFR-79447-696"/>
    <x v="562"/>
    <s v="77828-66867-KH"/>
    <s v="R-M-0.5"/>
    <n v="1"/>
    <s v="Hazel Iacopini"/>
    <n v="0"/>
    <s v="United States"/>
    <s v="Rob"/>
    <s v="M"/>
    <x v="1"/>
    <n v="5.97"/>
    <n v="5.97"/>
    <x v="0"/>
    <x v="0"/>
    <x v="0"/>
  </r>
  <r>
    <s v="NUU-03893-975"/>
    <x v="563"/>
    <s v="41054-59693-XE"/>
    <s v="L-L-0.5"/>
    <n v="2"/>
    <s v="Vinny Shoebotham"/>
    <s v="vshoebothamkv@redcross.org"/>
    <s v="United States"/>
    <s v="Lib"/>
    <s v="L"/>
    <x v="1"/>
    <n v="9.51"/>
    <n v="19.02"/>
    <x v="3"/>
    <x v="1"/>
    <x v="1"/>
  </r>
  <r>
    <s v="GVG-59542-307"/>
    <x v="564"/>
    <s v="26314-66792-VP"/>
    <s v="E-M-1"/>
    <n v="2"/>
    <s v="Bran Sterke"/>
    <s v="bsterkekw@biblegateway.com"/>
    <s v="United States"/>
    <s v="Exc"/>
    <s v="M"/>
    <x v="0"/>
    <n v="13.75"/>
    <n v="27.5"/>
    <x v="1"/>
    <x v="0"/>
    <x v="0"/>
  </r>
  <r>
    <s v="YLY-35287-172"/>
    <x v="565"/>
    <s v="69410-04668-MA"/>
    <s v="A-D-0.5"/>
    <n v="5"/>
    <s v="Simone Capon"/>
    <s v="scaponkx@craigslist.org"/>
    <s v="United States"/>
    <s v="Ara"/>
    <s v="D"/>
    <x v="1"/>
    <n v="5.97"/>
    <n v="29.849999999999998"/>
    <x v="2"/>
    <x v="2"/>
    <x v="1"/>
  </r>
  <r>
    <s v="DCI-96254-548"/>
    <x v="566"/>
    <s v="94091-86957-HX"/>
    <s v="A-D-0.2"/>
    <n v="6"/>
    <s v="Jimmy Dymoke"/>
    <s v="jdymokeje@prnewswire.com"/>
    <s v="Ireland"/>
    <s v="Ara"/>
    <s v="D"/>
    <x v="3"/>
    <n v="2.9849999999999999"/>
    <n v="17.91"/>
    <x v="2"/>
    <x v="2"/>
    <x v="1"/>
  </r>
  <r>
    <s v="KHZ-26264-253"/>
    <x v="160"/>
    <s v="24972-55878-KX"/>
    <s v="L-L-0.2"/>
    <n v="6"/>
    <s v="Foster Constance"/>
    <s v="fconstancekz@ifeng.com"/>
    <s v="United States"/>
    <s v="Lib"/>
    <s v="L"/>
    <x v="3"/>
    <n v="4.7549999999999999"/>
    <n v="28.53"/>
    <x v="3"/>
    <x v="1"/>
    <x v="1"/>
  </r>
  <r>
    <s v="AAQ-13644-699"/>
    <x v="567"/>
    <s v="46296-42617-OQ"/>
    <s v="R-D-1"/>
    <n v="4"/>
    <s v="Fernando Sulman"/>
    <s v="fsulmanl0@washington.edu"/>
    <s v="United States"/>
    <s v="Rob"/>
    <s v="D"/>
    <x v="0"/>
    <n v="8.9499999999999993"/>
    <n v="35.799999999999997"/>
    <x v="0"/>
    <x v="2"/>
    <x v="0"/>
  </r>
  <r>
    <s v="LWL-68108-794"/>
    <x v="568"/>
    <s v="44494-89923-UW"/>
    <s v="A-D-0.5"/>
    <n v="3"/>
    <s v="Dorotea Hollyman"/>
    <s v="dhollymanl1@ibm.com"/>
    <s v="United States"/>
    <s v="Ara"/>
    <s v="D"/>
    <x v="1"/>
    <n v="5.97"/>
    <n v="17.91"/>
    <x v="2"/>
    <x v="2"/>
    <x v="0"/>
  </r>
  <r>
    <s v="JQT-14347-517"/>
    <x v="569"/>
    <s v="11621-09964-ID"/>
    <s v="R-D-1"/>
    <n v="1"/>
    <s v="Lorelei Nardoni"/>
    <s v="lnardonil2@hao123.com"/>
    <s v="United States"/>
    <s v="Rob"/>
    <s v="D"/>
    <x v="0"/>
    <n v="8.9499999999999993"/>
    <n v="8.9499999999999993"/>
    <x v="0"/>
    <x v="2"/>
    <x v="1"/>
  </r>
  <r>
    <s v="BMM-86471-923"/>
    <x v="570"/>
    <s v="76319-80715-II"/>
    <s v="L-D-2.5"/>
    <n v="1"/>
    <s v="Dallas Yarham"/>
    <s v="dyarhaml3@moonfruit.com"/>
    <s v="United States"/>
    <s v="Lib"/>
    <s v="D"/>
    <x v="2"/>
    <n v="29.784999999999997"/>
    <n v="29.784999999999997"/>
    <x v="3"/>
    <x v="2"/>
    <x v="0"/>
  </r>
  <r>
    <s v="IXU-67272-326"/>
    <x v="571"/>
    <s v="91654-79216-IC"/>
    <s v="E-L-0.5"/>
    <n v="5"/>
    <s v="Arlana Ferrea"/>
    <s v="aferreal4@wikia.com"/>
    <s v="United States"/>
    <s v="Exc"/>
    <s v="L"/>
    <x v="1"/>
    <n v="8.91"/>
    <n v="44.55"/>
    <x v="1"/>
    <x v="1"/>
    <x v="1"/>
  </r>
  <r>
    <s v="ITE-28312-615"/>
    <x v="139"/>
    <s v="56450-21890-HK"/>
    <s v="E-L-1"/>
    <n v="6"/>
    <s v="Chuck Kendrick"/>
    <s v="ckendrickl5@webnode.com"/>
    <s v="United States"/>
    <s v="Exc"/>
    <s v="L"/>
    <x v="0"/>
    <n v="14.85"/>
    <n v="89.1"/>
    <x v="1"/>
    <x v="1"/>
    <x v="0"/>
  </r>
  <r>
    <s v="ZHQ-30471-635"/>
    <x v="303"/>
    <s v="40600-58915-WZ"/>
    <s v="L-M-0.5"/>
    <n v="5"/>
    <s v="Sharona Danilchik"/>
    <s v="sdanilchikl6@mit.edu"/>
    <s v="United Kingdom"/>
    <s v="Lib"/>
    <s v="M"/>
    <x v="1"/>
    <n v="8.73"/>
    <n v="43.650000000000006"/>
    <x v="3"/>
    <x v="0"/>
    <x v="1"/>
  </r>
  <r>
    <s v="LTP-31133-134"/>
    <x v="572"/>
    <s v="66527-94478-PB"/>
    <s v="A-L-0.5"/>
    <n v="3"/>
    <s v="Sarajane Potter"/>
    <n v="0"/>
    <s v="United States"/>
    <s v="Ara"/>
    <s v="L"/>
    <x v="1"/>
    <n v="7.77"/>
    <n v="23.31"/>
    <x v="2"/>
    <x v="1"/>
    <x v="1"/>
  </r>
  <r>
    <s v="ZVQ-26122-859"/>
    <x v="573"/>
    <s v="77154-45038-IH"/>
    <s v="A-L-2.5"/>
    <n v="6"/>
    <s v="Bobby Folomkin"/>
    <s v="bfolomkinl8@yolasite.com"/>
    <s v="United States"/>
    <s v="Ara"/>
    <s v="L"/>
    <x v="2"/>
    <n v="29.784999999999997"/>
    <n v="178.70999999999998"/>
    <x v="2"/>
    <x v="1"/>
    <x v="0"/>
  </r>
  <r>
    <s v="MIU-01481-194"/>
    <x v="574"/>
    <s v="08439-55669-AI"/>
    <s v="R-M-1"/>
    <n v="6"/>
    <s v="Rafferty Pursglove"/>
    <s v="rpursglovel9@biblegateway.com"/>
    <s v="United States"/>
    <s v="Rob"/>
    <s v="M"/>
    <x v="0"/>
    <n v="9.9499999999999993"/>
    <n v="59.699999999999996"/>
    <x v="0"/>
    <x v="0"/>
    <x v="0"/>
  </r>
  <r>
    <s v="MIU-01481-194"/>
    <x v="574"/>
    <s v="08439-55669-AI"/>
    <s v="A-L-0.5"/>
    <n v="2"/>
    <s v="Rafferty Pursglove"/>
    <s v="rpursglovel9@biblegateway.com"/>
    <s v="United States"/>
    <s v="Ara"/>
    <s v="L"/>
    <x v="1"/>
    <n v="7.77"/>
    <n v="15.54"/>
    <x v="2"/>
    <x v="1"/>
    <x v="0"/>
  </r>
  <r>
    <s v="UEA-72681-629"/>
    <x v="455"/>
    <s v="24972-55878-KX"/>
    <s v="A-L-2.5"/>
    <n v="3"/>
    <s v="Foster Constance"/>
    <s v="fconstancekz@ifeng.com"/>
    <s v="United States"/>
    <s v="Ara"/>
    <s v="L"/>
    <x v="2"/>
    <n v="29.784999999999997"/>
    <n v="89.35499999999999"/>
    <x v="2"/>
    <x v="1"/>
    <x v="1"/>
  </r>
  <r>
    <s v="CVE-15042-481"/>
    <x v="575"/>
    <s v="24972-55878-KX"/>
    <s v="R-L-1"/>
    <n v="2"/>
    <s v="Foster Constance"/>
    <s v="fconstancekz@ifeng.com"/>
    <s v="United States"/>
    <s v="Rob"/>
    <s v="L"/>
    <x v="0"/>
    <n v="11.95"/>
    <n v="23.9"/>
    <x v="0"/>
    <x v="1"/>
    <x v="1"/>
  </r>
  <r>
    <s v="EJA-79176-833"/>
    <x v="576"/>
    <s v="91509-62250-GN"/>
    <s v="R-M-2.5"/>
    <n v="6"/>
    <s v="Dalia Eburah"/>
    <s v="deburahld@google.co.jp"/>
    <s v="United Kingdom"/>
    <s v="Rob"/>
    <s v="M"/>
    <x v="2"/>
    <n v="22.884999999999998"/>
    <n v="137.31"/>
    <x v="0"/>
    <x v="0"/>
    <x v="1"/>
  </r>
  <r>
    <s v="AHQ-40440-522"/>
    <x v="577"/>
    <s v="83833-46106-ZC"/>
    <s v="A-D-1"/>
    <n v="1"/>
    <s v="Martie Brimilcombe"/>
    <s v="mbrimilcombele@cnn.com"/>
    <s v="United States"/>
    <s v="Ara"/>
    <s v="D"/>
    <x v="0"/>
    <n v="9.9499999999999993"/>
    <n v="9.9499999999999993"/>
    <x v="2"/>
    <x v="2"/>
    <x v="1"/>
  </r>
  <r>
    <s v="TID-21626-411"/>
    <x v="578"/>
    <s v="19383-33606-PW"/>
    <s v="R-L-0.5"/>
    <n v="3"/>
    <s v="Suzanna Bollam"/>
    <s v="sbollamlf@list-manage.com"/>
    <s v="United States"/>
    <s v="Rob"/>
    <s v="L"/>
    <x v="1"/>
    <n v="7.169999999999999"/>
    <n v="21.509999999999998"/>
    <x v="0"/>
    <x v="1"/>
    <x v="1"/>
  </r>
  <r>
    <s v="RSR-96390-187"/>
    <x v="579"/>
    <s v="67052-76184-CB"/>
    <s v="E-M-1"/>
    <n v="6"/>
    <s v="Mellisa Mebes"/>
    <n v="0"/>
    <s v="United States"/>
    <s v="Exc"/>
    <s v="M"/>
    <x v="0"/>
    <n v="13.75"/>
    <n v="82.5"/>
    <x v="1"/>
    <x v="0"/>
    <x v="1"/>
  </r>
  <r>
    <s v="BZE-96093-118"/>
    <x v="91"/>
    <s v="43452-18035-DH"/>
    <s v="L-M-0.2"/>
    <n v="2"/>
    <s v="Alva Filipczak"/>
    <s v="afilipczaklh@ning.com"/>
    <s v="Ireland"/>
    <s v="Lib"/>
    <s v="M"/>
    <x v="3"/>
    <n v="4.3650000000000002"/>
    <n v="8.73"/>
    <x v="3"/>
    <x v="0"/>
    <x v="1"/>
  </r>
  <r>
    <s v="LOU-41819-242"/>
    <x v="272"/>
    <s v="88060-50676-MV"/>
    <s v="R-M-1"/>
    <n v="2"/>
    <s v="Dorette Hinemoor"/>
    <n v="0"/>
    <s v="United States"/>
    <s v="Rob"/>
    <s v="M"/>
    <x v="0"/>
    <n v="9.9499999999999993"/>
    <n v="19.899999999999999"/>
    <x v="0"/>
    <x v="0"/>
    <x v="0"/>
  </r>
  <r>
    <s v="FND-99527-640"/>
    <x v="65"/>
    <s v="89574-96203-EP"/>
    <s v="E-L-0.5"/>
    <n v="2"/>
    <s v="Rhetta Elnaugh"/>
    <s v="relnaughlj@comsenz.com"/>
    <s v="United States"/>
    <s v="Exc"/>
    <s v="L"/>
    <x v="1"/>
    <n v="8.91"/>
    <n v="17.82"/>
    <x v="1"/>
    <x v="1"/>
    <x v="0"/>
  </r>
  <r>
    <s v="ASG-27179-958"/>
    <x v="580"/>
    <s v="12607-75113-UV"/>
    <s v="A-M-0.5"/>
    <n v="3"/>
    <s v="Jule Deehan"/>
    <s v="jdeehanlk@about.me"/>
    <s v="United States"/>
    <s v="Ara"/>
    <s v="M"/>
    <x v="1"/>
    <n v="6.75"/>
    <n v="20.25"/>
    <x v="2"/>
    <x v="0"/>
    <x v="1"/>
  </r>
  <r>
    <s v="YKX-23510-272"/>
    <x v="581"/>
    <s v="56991-05510-PR"/>
    <s v="A-L-2.5"/>
    <n v="2"/>
    <s v="Janella Eden"/>
    <s v="jedenll@e-recht24.de"/>
    <s v="United States"/>
    <s v="Ara"/>
    <s v="L"/>
    <x v="2"/>
    <n v="29.784999999999997"/>
    <n v="59.569999999999993"/>
    <x v="2"/>
    <x v="1"/>
    <x v="1"/>
  </r>
  <r>
    <s v="FSA-98650-921"/>
    <x v="489"/>
    <s v="01841-48191-NL"/>
    <s v="L-L-0.5"/>
    <n v="2"/>
    <s v="Cam Jewster"/>
    <s v="cjewsterlu@moonfruit.com"/>
    <s v="United States"/>
    <s v="Lib"/>
    <s v="L"/>
    <x v="1"/>
    <n v="9.51"/>
    <n v="19.02"/>
    <x v="3"/>
    <x v="1"/>
    <x v="0"/>
  </r>
  <r>
    <s v="ZUR-55774-294"/>
    <x v="234"/>
    <s v="33269-10023-CO"/>
    <s v="L-D-1"/>
    <n v="6"/>
    <s v="Ugo Southerden"/>
    <s v="usoutherdenln@hao123.com"/>
    <s v="United States"/>
    <s v="Lib"/>
    <s v="D"/>
    <x v="0"/>
    <n v="12.95"/>
    <n v="77.699999999999989"/>
    <x v="3"/>
    <x v="2"/>
    <x v="0"/>
  </r>
  <r>
    <s v="FUO-99821-974"/>
    <x v="175"/>
    <s v="31245-81098-PJ"/>
    <s v="E-M-1"/>
    <n v="3"/>
    <s v="Verne Dunkerley"/>
    <n v="0"/>
    <s v="United States"/>
    <s v="Exc"/>
    <s v="M"/>
    <x v="0"/>
    <n v="13.75"/>
    <n v="41.25"/>
    <x v="1"/>
    <x v="0"/>
    <x v="1"/>
  </r>
  <r>
    <s v="YVH-19865-819"/>
    <x v="582"/>
    <s v="08946-56610-IH"/>
    <s v="L-L-2.5"/>
    <n v="4"/>
    <s v="Lacee Burtenshaw"/>
    <s v="lburtenshawlp@shinystat.com"/>
    <s v="United States"/>
    <s v="Lib"/>
    <s v="L"/>
    <x v="2"/>
    <n v="36.454999999999998"/>
    <n v="145.82"/>
    <x v="3"/>
    <x v="1"/>
    <x v="1"/>
  </r>
  <r>
    <s v="NNF-47422-501"/>
    <x v="583"/>
    <s v="20260-32948-EB"/>
    <s v="E-L-0.2"/>
    <n v="6"/>
    <s v="Adorne Gregoratti"/>
    <s v="agregorattilq@vistaprint.com"/>
    <s v="Ireland"/>
    <s v="Exc"/>
    <s v="L"/>
    <x v="3"/>
    <n v="4.4550000000000001"/>
    <n v="26.73"/>
    <x v="1"/>
    <x v="1"/>
    <x v="1"/>
  </r>
  <r>
    <s v="RJI-71409-490"/>
    <x v="548"/>
    <s v="31613-41626-KX"/>
    <s v="L-M-0.5"/>
    <n v="5"/>
    <s v="Chris Croster"/>
    <s v="ccrosterlr@gov.uk"/>
    <s v="United States"/>
    <s v="Lib"/>
    <s v="M"/>
    <x v="1"/>
    <n v="8.73"/>
    <n v="43.650000000000006"/>
    <x v="3"/>
    <x v="0"/>
    <x v="0"/>
  </r>
  <r>
    <s v="UZL-46108-213"/>
    <x v="584"/>
    <s v="75961-20170-RD"/>
    <s v="L-L-1"/>
    <n v="2"/>
    <s v="Graeme Whitehead"/>
    <s v="gwhiteheadls@hp.com"/>
    <s v="United States"/>
    <s v="Lib"/>
    <s v="L"/>
    <x v="0"/>
    <n v="15.85"/>
    <n v="31.7"/>
    <x v="3"/>
    <x v="1"/>
    <x v="1"/>
  </r>
  <r>
    <s v="AOX-44467-109"/>
    <x v="64"/>
    <s v="72524-06410-KD"/>
    <s v="A-D-2.5"/>
    <n v="1"/>
    <s v="Haslett Jodrelle"/>
    <s v="hjodrellelt@samsung.com"/>
    <s v="United States"/>
    <s v="Ara"/>
    <s v="D"/>
    <x v="2"/>
    <n v="22.884999999999998"/>
    <n v="22.884999999999998"/>
    <x v="2"/>
    <x v="2"/>
    <x v="1"/>
  </r>
  <r>
    <s v="TZD-67261-174"/>
    <x v="585"/>
    <s v="01841-48191-NL"/>
    <s v="E-D-2.5"/>
    <n v="1"/>
    <s v="Cam Jewster"/>
    <s v="cjewsterlu@moonfruit.com"/>
    <s v="United States"/>
    <s v="Exc"/>
    <s v="D"/>
    <x v="2"/>
    <n v="27.945"/>
    <n v="27.945"/>
    <x v="1"/>
    <x v="2"/>
    <x v="0"/>
  </r>
  <r>
    <s v="TBU-64277-625"/>
    <x v="32"/>
    <s v="98918-34330-GY"/>
    <s v="E-M-1"/>
    <n v="6"/>
    <s v="Beryl Osborn"/>
    <n v="0"/>
    <s v="United States"/>
    <s v="Exc"/>
    <s v="M"/>
    <x v="0"/>
    <n v="13.75"/>
    <n v="82.5"/>
    <x v="1"/>
    <x v="0"/>
    <x v="0"/>
  </r>
  <r>
    <s v="TYP-85767-944"/>
    <x v="586"/>
    <s v="51497-50894-WU"/>
    <s v="R-M-2.5"/>
    <n v="2"/>
    <s v="Kaela Nottram"/>
    <s v="knottramlw@odnoklassniki.ru"/>
    <s v="Ireland"/>
    <s v="Rob"/>
    <s v="M"/>
    <x v="2"/>
    <n v="22.884999999999998"/>
    <n v="45.769999999999996"/>
    <x v="0"/>
    <x v="0"/>
    <x v="0"/>
  </r>
  <r>
    <s v="GTT-73214-334"/>
    <x v="535"/>
    <s v="98636-90072-YE"/>
    <s v="A-L-1"/>
    <n v="6"/>
    <s v="Nobe Buney"/>
    <s v="nbuneylx@jugem.jp"/>
    <s v="United States"/>
    <s v="Ara"/>
    <s v="L"/>
    <x v="0"/>
    <n v="12.95"/>
    <n v="77.699999999999989"/>
    <x v="2"/>
    <x v="1"/>
    <x v="1"/>
  </r>
  <r>
    <s v="WAI-89905-069"/>
    <x v="587"/>
    <s v="47011-57815-HJ"/>
    <s v="A-L-0.5"/>
    <n v="3"/>
    <s v="Silvan McShea"/>
    <s v="smcshealy@photobucket.com"/>
    <s v="United States"/>
    <s v="Ara"/>
    <s v="L"/>
    <x v="1"/>
    <n v="7.77"/>
    <n v="23.31"/>
    <x v="2"/>
    <x v="1"/>
    <x v="1"/>
  </r>
  <r>
    <s v="OJL-96844-459"/>
    <x v="393"/>
    <s v="61253-98356-VD"/>
    <s v="L-L-0.2"/>
    <n v="5"/>
    <s v="Karylin Huddart"/>
    <s v="khuddartlz@about.com"/>
    <s v="United States"/>
    <s v="Lib"/>
    <s v="L"/>
    <x v="3"/>
    <n v="4.7549999999999999"/>
    <n v="23.774999999999999"/>
    <x v="3"/>
    <x v="1"/>
    <x v="0"/>
  </r>
  <r>
    <s v="VGI-33205-360"/>
    <x v="588"/>
    <s v="96762-10814-DA"/>
    <s v="L-M-0.5"/>
    <n v="6"/>
    <s v="Jereme Gippes"/>
    <s v="jgippesm0@cloudflare.com"/>
    <s v="United Kingdom"/>
    <s v="Lib"/>
    <s v="M"/>
    <x v="1"/>
    <n v="8.73"/>
    <n v="52.38"/>
    <x v="3"/>
    <x v="0"/>
    <x v="0"/>
  </r>
  <r>
    <s v="PCA-14081-576"/>
    <x v="15"/>
    <s v="63112-10870-LC"/>
    <s v="R-L-0.2"/>
    <n v="5"/>
    <s v="Lukas Whittlesee"/>
    <s v="lwhittleseem1@e-recht24.de"/>
    <s v="United States"/>
    <s v="Rob"/>
    <s v="L"/>
    <x v="3"/>
    <n v="3.5849999999999995"/>
    <n v="17.924999999999997"/>
    <x v="0"/>
    <x v="1"/>
    <x v="1"/>
  </r>
  <r>
    <s v="SCS-67069-962"/>
    <x v="507"/>
    <s v="21403-49423-PD"/>
    <s v="A-L-2.5"/>
    <n v="5"/>
    <s v="Gregorius Trengrove"/>
    <s v="gtrengrovem2@elpais.com"/>
    <s v="United States"/>
    <s v="Ara"/>
    <s v="L"/>
    <x v="2"/>
    <n v="29.784999999999997"/>
    <n v="148.92499999999998"/>
    <x v="2"/>
    <x v="1"/>
    <x v="1"/>
  </r>
  <r>
    <s v="BDM-03174-485"/>
    <x v="533"/>
    <s v="29581-13303-VB"/>
    <s v="R-L-0.5"/>
    <n v="4"/>
    <s v="Wright Caldero"/>
    <s v="wcalderom3@stumbleupon.com"/>
    <s v="United States"/>
    <s v="Rob"/>
    <s v="L"/>
    <x v="1"/>
    <n v="7.169999999999999"/>
    <n v="28.679999999999996"/>
    <x v="0"/>
    <x v="1"/>
    <x v="1"/>
  </r>
  <r>
    <s v="UJV-32333-364"/>
    <x v="589"/>
    <s v="86110-83695-YS"/>
    <s v="L-L-0.5"/>
    <n v="1"/>
    <s v="Merell Zanazzi"/>
    <n v="0"/>
    <s v="United States"/>
    <s v="Lib"/>
    <s v="L"/>
    <x v="1"/>
    <n v="9.51"/>
    <n v="9.51"/>
    <x v="3"/>
    <x v="1"/>
    <x v="1"/>
  </r>
  <r>
    <s v="FLI-11493-954"/>
    <x v="590"/>
    <s v="80454-42225-FT"/>
    <s v="A-L-0.5"/>
    <n v="4"/>
    <s v="Jed Kennicott"/>
    <s v="jkennicottm5@yahoo.co.jp"/>
    <s v="United States"/>
    <s v="Ara"/>
    <s v="L"/>
    <x v="1"/>
    <n v="7.77"/>
    <n v="31.08"/>
    <x v="2"/>
    <x v="1"/>
    <x v="1"/>
  </r>
  <r>
    <s v="IWL-13117-537"/>
    <x v="457"/>
    <s v="29129-60664-KO"/>
    <s v="R-D-0.2"/>
    <n v="3"/>
    <s v="Guenevere Ruggen"/>
    <s v="gruggenm6@nymag.com"/>
    <s v="United States"/>
    <s v="Rob"/>
    <s v="D"/>
    <x v="3"/>
    <n v="2.6849999999999996"/>
    <n v="8.0549999999999997"/>
    <x v="0"/>
    <x v="2"/>
    <x v="0"/>
  </r>
  <r>
    <s v="OAM-76916-748"/>
    <x v="591"/>
    <s v="63025-62939-AN"/>
    <s v="E-D-1"/>
    <n v="3"/>
    <s v="Gonzales Cicculi"/>
    <n v="0"/>
    <s v="United States"/>
    <s v="Exc"/>
    <s v="D"/>
    <x v="0"/>
    <n v="12.15"/>
    <n v="36.450000000000003"/>
    <x v="1"/>
    <x v="2"/>
    <x v="0"/>
  </r>
  <r>
    <s v="UMB-11223-710"/>
    <x v="592"/>
    <s v="49012-12987-QT"/>
    <s v="R-D-0.2"/>
    <n v="6"/>
    <s v="Man Fright"/>
    <s v="mfrightm8@harvard.edu"/>
    <s v="Ireland"/>
    <s v="Rob"/>
    <s v="D"/>
    <x v="3"/>
    <n v="2.6849999999999996"/>
    <n v="16.11"/>
    <x v="0"/>
    <x v="2"/>
    <x v="1"/>
  </r>
  <r>
    <s v="LXR-09892-726"/>
    <x v="402"/>
    <s v="50924-94200-SQ"/>
    <s v="R-D-2.5"/>
    <n v="2"/>
    <s v="Boyce Tarte"/>
    <s v="btartem9@aol.com"/>
    <s v="United States"/>
    <s v="Rob"/>
    <s v="D"/>
    <x v="2"/>
    <n v="20.584999999999997"/>
    <n v="41.169999999999995"/>
    <x v="0"/>
    <x v="2"/>
    <x v="0"/>
  </r>
  <r>
    <s v="QXX-89943-393"/>
    <x v="593"/>
    <s v="15673-18812-IU"/>
    <s v="R-D-0.2"/>
    <n v="4"/>
    <s v="Caddric Krzysztofiak"/>
    <s v="ckrzysztofiakma@skyrock.com"/>
    <s v="United States"/>
    <s v="Rob"/>
    <s v="D"/>
    <x v="3"/>
    <n v="2.6849999999999996"/>
    <n v="10.739999999999998"/>
    <x v="0"/>
    <x v="2"/>
    <x v="1"/>
  </r>
  <r>
    <s v="WVS-57822-366"/>
    <x v="594"/>
    <s v="52151-75971-YY"/>
    <s v="E-M-2.5"/>
    <n v="4"/>
    <s v="Darn Penquet"/>
    <s v="dpenquetmb@diigo.com"/>
    <s v="United States"/>
    <s v="Exc"/>
    <s v="M"/>
    <x v="2"/>
    <n v="31.624999999999996"/>
    <n v="126.49999999999999"/>
    <x v="1"/>
    <x v="0"/>
    <x v="1"/>
  </r>
  <r>
    <s v="CLJ-23403-689"/>
    <x v="77"/>
    <s v="19413-02045-CG"/>
    <s v="R-L-1"/>
    <n v="2"/>
    <s v="Jammie Cloke"/>
    <n v="0"/>
    <s v="United Kingdom"/>
    <s v="Rob"/>
    <s v="L"/>
    <x v="0"/>
    <n v="11.95"/>
    <n v="23.9"/>
    <x v="0"/>
    <x v="1"/>
    <x v="1"/>
  </r>
  <r>
    <s v="XNU-83276-288"/>
    <x v="595"/>
    <s v="98185-92775-KT"/>
    <s v="R-M-0.5"/>
    <n v="1"/>
    <s v="Chester Clowton"/>
    <n v="0"/>
    <s v="United States"/>
    <s v="Rob"/>
    <s v="M"/>
    <x v="1"/>
    <n v="5.97"/>
    <n v="5.97"/>
    <x v="0"/>
    <x v="0"/>
    <x v="1"/>
  </r>
  <r>
    <s v="YOG-94666-679"/>
    <x v="596"/>
    <s v="86991-53901-AT"/>
    <s v="L-D-0.2"/>
    <n v="2"/>
    <s v="Kathleen Diable"/>
    <n v="0"/>
    <s v="United Kingdom"/>
    <s v="Lib"/>
    <s v="D"/>
    <x v="3"/>
    <n v="3.8849999999999998"/>
    <n v="7.77"/>
    <x v="3"/>
    <x v="2"/>
    <x v="0"/>
  </r>
  <r>
    <s v="KHG-33953-115"/>
    <x v="514"/>
    <s v="78226-97287-JI"/>
    <s v="L-D-0.5"/>
    <n v="3"/>
    <s v="Koren Ferretti"/>
    <s v="kferrettimf@huffingtonpost.com"/>
    <s v="Ireland"/>
    <s v="Lib"/>
    <s v="D"/>
    <x v="1"/>
    <n v="7.77"/>
    <n v="23.31"/>
    <x v="3"/>
    <x v="2"/>
    <x v="1"/>
  </r>
  <r>
    <s v="MHD-95615-696"/>
    <x v="54"/>
    <s v="27930-59250-JT"/>
    <s v="R-L-2.5"/>
    <n v="5"/>
    <s v="Allis Wilmore"/>
    <n v="0"/>
    <s v="United States"/>
    <s v="Rob"/>
    <s v="L"/>
    <x v="2"/>
    <n v="27.484999999999996"/>
    <n v="137.42499999999998"/>
    <x v="0"/>
    <x v="1"/>
    <x v="1"/>
  </r>
  <r>
    <s v="HBH-64794-080"/>
    <x v="597"/>
    <s v="40560-18556-YE"/>
    <s v="R-D-0.2"/>
    <n v="3"/>
    <s v="Chaddie Bennie"/>
    <n v="0"/>
    <s v="United States"/>
    <s v="Rob"/>
    <s v="D"/>
    <x v="3"/>
    <n v="2.6849999999999996"/>
    <n v="8.0549999999999997"/>
    <x v="0"/>
    <x v="2"/>
    <x v="0"/>
  </r>
  <r>
    <s v="CNJ-56058-223"/>
    <x v="105"/>
    <s v="40780-22081-LX"/>
    <s v="L-L-0.5"/>
    <n v="3"/>
    <s v="Alberta Balsdone"/>
    <s v="abalsdonemi@toplist.cz"/>
    <s v="United States"/>
    <s v="Lib"/>
    <s v="L"/>
    <x v="1"/>
    <n v="9.51"/>
    <n v="28.53"/>
    <x v="3"/>
    <x v="1"/>
    <x v="1"/>
  </r>
  <r>
    <s v="KHO-27106-786"/>
    <x v="210"/>
    <s v="01603-43789-TN"/>
    <s v="A-M-1"/>
    <n v="6"/>
    <s v="Brice Romera"/>
    <s v="bromeramj@list-manage.com"/>
    <s v="Ireland"/>
    <s v="Ara"/>
    <s v="M"/>
    <x v="0"/>
    <n v="11.25"/>
    <n v="67.5"/>
    <x v="2"/>
    <x v="0"/>
    <x v="0"/>
  </r>
  <r>
    <s v="KHO-27106-786"/>
    <x v="210"/>
    <s v="01603-43789-TN"/>
    <s v="L-D-2.5"/>
    <n v="6"/>
    <s v="Brice Romera"/>
    <s v="bromeramj@list-manage.com"/>
    <s v="Ireland"/>
    <s v="Lib"/>
    <s v="D"/>
    <x v="2"/>
    <n v="29.784999999999997"/>
    <n v="178.70999999999998"/>
    <x v="3"/>
    <x v="2"/>
    <x v="0"/>
  </r>
  <r>
    <s v="YAC-50329-982"/>
    <x v="598"/>
    <s v="75419-92838-TI"/>
    <s v="E-M-2.5"/>
    <n v="1"/>
    <s v="Conchita Bryde"/>
    <s v="cbrydeml@tuttocitta.it"/>
    <s v="United States"/>
    <s v="Exc"/>
    <s v="M"/>
    <x v="2"/>
    <n v="31.624999999999996"/>
    <n v="31.624999999999996"/>
    <x v="1"/>
    <x v="0"/>
    <x v="0"/>
  </r>
  <r>
    <s v="VVL-95291-039"/>
    <x v="360"/>
    <s v="96516-97464-MF"/>
    <s v="E-L-0.2"/>
    <n v="2"/>
    <s v="Silvanus Enefer"/>
    <s v="senefermm@blog.com"/>
    <s v="United States"/>
    <s v="Exc"/>
    <s v="L"/>
    <x v="3"/>
    <n v="4.4550000000000001"/>
    <n v="8.91"/>
    <x v="1"/>
    <x v="1"/>
    <x v="1"/>
  </r>
  <r>
    <s v="VUT-20974-364"/>
    <x v="62"/>
    <s v="90285-56295-PO"/>
    <s v="R-M-0.5"/>
    <n v="6"/>
    <s v="Lenci Haggerstone"/>
    <s v="lhaggerstonemn@independent.co.uk"/>
    <s v="United States"/>
    <s v="Rob"/>
    <s v="M"/>
    <x v="1"/>
    <n v="5.97"/>
    <n v="35.82"/>
    <x v="0"/>
    <x v="0"/>
    <x v="1"/>
  </r>
  <r>
    <s v="SFC-34054-213"/>
    <x v="599"/>
    <s v="08100-71102-HQ"/>
    <s v="L-L-0.5"/>
    <n v="4"/>
    <s v="Marvin Gundry"/>
    <s v="mgundrymo@omniture.com"/>
    <s v="Ireland"/>
    <s v="Lib"/>
    <s v="L"/>
    <x v="1"/>
    <n v="9.51"/>
    <n v="38.04"/>
    <x v="3"/>
    <x v="1"/>
    <x v="1"/>
  </r>
  <r>
    <s v="UDS-04807-593"/>
    <x v="600"/>
    <s v="84074-28110-OV"/>
    <s v="L-D-0.5"/>
    <n v="2"/>
    <s v="Bayard Wellan"/>
    <s v="bwellanmp@cafepress.com"/>
    <s v="United States"/>
    <s v="Lib"/>
    <s v="D"/>
    <x v="1"/>
    <n v="7.77"/>
    <n v="15.54"/>
    <x v="3"/>
    <x v="2"/>
    <x v="1"/>
  </r>
  <r>
    <s v="FWE-98471-488"/>
    <x v="601"/>
    <s v="27930-59250-JT"/>
    <s v="L-L-1"/>
    <n v="5"/>
    <s v="Allis Wilmore"/>
    <n v="0"/>
    <s v="United States"/>
    <s v="Lib"/>
    <s v="L"/>
    <x v="0"/>
    <n v="15.85"/>
    <n v="79.25"/>
    <x v="3"/>
    <x v="1"/>
    <x v="1"/>
  </r>
  <r>
    <s v="RAU-17060-674"/>
    <x v="602"/>
    <s v="12747-63766-EU"/>
    <s v="L-L-0.2"/>
    <n v="1"/>
    <s v="Caddric Atcheson"/>
    <s v="catchesonmr@xinhuanet.com"/>
    <s v="United States"/>
    <s v="Lib"/>
    <s v="L"/>
    <x v="3"/>
    <n v="4.7549999999999999"/>
    <n v="4.7549999999999999"/>
    <x v="3"/>
    <x v="1"/>
    <x v="0"/>
  </r>
  <r>
    <s v="AOL-13866-711"/>
    <x v="603"/>
    <s v="83490-88357-LJ"/>
    <s v="E-M-1"/>
    <n v="4"/>
    <s v="Eustace Stenton"/>
    <s v="estentonms@google.it"/>
    <s v="United States"/>
    <s v="Exc"/>
    <s v="M"/>
    <x v="0"/>
    <n v="13.75"/>
    <n v="55"/>
    <x v="1"/>
    <x v="0"/>
    <x v="0"/>
  </r>
  <r>
    <s v="NOA-79645-377"/>
    <x v="604"/>
    <s v="53729-30320-XZ"/>
    <s v="R-D-0.5"/>
    <n v="5"/>
    <s v="Ericka Tripp"/>
    <s v="etrippmt@wp.com"/>
    <s v="United States"/>
    <s v="Rob"/>
    <s v="D"/>
    <x v="1"/>
    <n v="5.3699999999999992"/>
    <n v="26.849999999999994"/>
    <x v="0"/>
    <x v="2"/>
    <x v="1"/>
  </r>
  <r>
    <s v="KMS-49214-806"/>
    <x v="605"/>
    <s v="50384-52703-LA"/>
    <s v="E-L-2.5"/>
    <n v="4"/>
    <s v="Lyndsey MacManus"/>
    <s v="lmacmanusmu@imdb.com"/>
    <s v="United States"/>
    <s v="Exc"/>
    <s v="L"/>
    <x v="2"/>
    <n v="34.154999999999994"/>
    <n v="136.61999999999998"/>
    <x v="1"/>
    <x v="1"/>
    <x v="1"/>
  </r>
  <r>
    <s v="ABK-08091-531"/>
    <x v="606"/>
    <s v="53864-36201-FG"/>
    <s v="L-L-1"/>
    <n v="3"/>
    <s v="Tess Benediktovich"/>
    <s v="tbenediktovichmv@ebay.com"/>
    <s v="United States"/>
    <s v="Lib"/>
    <s v="L"/>
    <x v="0"/>
    <n v="15.85"/>
    <n v="47.55"/>
    <x v="3"/>
    <x v="1"/>
    <x v="0"/>
  </r>
  <r>
    <s v="GPT-67705-953"/>
    <x v="446"/>
    <s v="70631-33225-MZ"/>
    <s v="A-M-0.2"/>
    <n v="5"/>
    <s v="Correy Bourner"/>
    <s v="cbournermw@chronoengine.com"/>
    <s v="United States"/>
    <s v="Ara"/>
    <s v="M"/>
    <x v="3"/>
    <n v="3.375"/>
    <n v="16.875"/>
    <x v="2"/>
    <x v="0"/>
    <x v="0"/>
  </r>
  <r>
    <s v="JNA-21450-177"/>
    <x v="18"/>
    <s v="54798-14109-HC"/>
    <s v="A-D-1"/>
    <n v="3"/>
    <s v="Odelia Skerme"/>
    <s v="oskermen3@hatena.ne.jp"/>
    <s v="United States"/>
    <s v="Ara"/>
    <s v="D"/>
    <x v="0"/>
    <n v="9.9499999999999993"/>
    <n v="29.849999999999998"/>
    <x v="2"/>
    <x v="2"/>
    <x v="0"/>
  </r>
  <r>
    <s v="MPQ-23421-608"/>
    <x v="180"/>
    <s v="08023-52962-ET"/>
    <s v="E-M-0.5"/>
    <n v="5"/>
    <s v="Kandy Heddan"/>
    <s v="kheddanmy@icq.com"/>
    <s v="United States"/>
    <s v="Exc"/>
    <s v="M"/>
    <x v="1"/>
    <n v="8.25"/>
    <n v="41.25"/>
    <x v="1"/>
    <x v="0"/>
    <x v="0"/>
  </r>
  <r>
    <s v="NLI-63891-565"/>
    <x v="580"/>
    <s v="41899-00283-VK"/>
    <s v="E-M-0.2"/>
    <n v="5"/>
    <s v="Ibby Charters"/>
    <s v="ichartersmz@abc.net.au"/>
    <s v="United States"/>
    <s v="Exc"/>
    <s v="M"/>
    <x v="3"/>
    <n v="4.125"/>
    <n v="20.625"/>
    <x v="1"/>
    <x v="0"/>
    <x v="1"/>
  </r>
  <r>
    <s v="HHF-36647-854"/>
    <x v="453"/>
    <s v="39011-18412-GR"/>
    <s v="A-D-2.5"/>
    <n v="6"/>
    <s v="Adora Roubert"/>
    <s v="aroubertn0@tmall.com"/>
    <s v="United States"/>
    <s v="Ara"/>
    <s v="D"/>
    <x v="2"/>
    <n v="22.884999999999998"/>
    <n v="137.31"/>
    <x v="2"/>
    <x v="2"/>
    <x v="0"/>
  </r>
  <r>
    <s v="SBN-16537-046"/>
    <x v="259"/>
    <s v="60255-12579-PZ"/>
    <s v="A-D-0.2"/>
    <n v="1"/>
    <s v="Hillel Mairs"/>
    <s v="hmairsn1@so-net.ne.jp"/>
    <s v="United States"/>
    <s v="Ara"/>
    <s v="D"/>
    <x v="3"/>
    <n v="2.9849999999999999"/>
    <n v="2.9849999999999999"/>
    <x v="2"/>
    <x v="2"/>
    <x v="1"/>
  </r>
  <r>
    <s v="XZD-44484-632"/>
    <x v="607"/>
    <s v="80541-38332-BP"/>
    <s v="E-M-1"/>
    <n v="2"/>
    <s v="Helaina Rainforth"/>
    <s v="hrainforthn2@blog.com"/>
    <s v="United States"/>
    <s v="Exc"/>
    <s v="M"/>
    <x v="0"/>
    <n v="13.75"/>
    <n v="27.5"/>
    <x v="1"/>
    <x v="0"/>
    <x v="1"/>
  </r>
  <r>
    <s v="XZD-44484-632"/>
    <x v="607"/>
    <s v="80541-38332-BP"/>
    <s v="A-D-0.2"/>
    <n v="2"/>
    <s v="Helaina Rainforth"/>
    <s v="hrainforthn2@blog.com"/>
    <s v="United States"/>
    <s v="Ara"/>
    <s v="D"/>
    <x v="3"/>
    <n v="2.9849999999999999"/>
    <n v="5.97"/>
    <x v="2"/>
    <x v="2"/>
    <x v="1"/>
  </r>
  <r>
    <s v="IKQ-39946-768"/>
    <x v="385"/>
    <s v="72778-50968-UQ"/>
    <s v="R-M-1"/>
    <n v="6"/>
    <s v="Isac Jesper"/>
    <s v="ijespern4@theglobeandmail.com"/>
    <s v="United States"/>
    <s v="Rob"/>
    <s v="M"/>
    <x v="0"/>
    <n v="9.9499999999999993"/>
    <n v="59.699999999999996"/>
    <x v="0"/>
    <x v="0"/>
    <x v="1"/>
  </r>
  <r>
    <s v="KMB-95211-174"/>
    <x v="608"/>
    <s v="23941-30203-MO"/>
    <s v="R-D-2.5"/>
    <n v="4"/>
    <s v="Lenette Dwerryhouse"/>
    <s v="ldwerryhousen5@gravatar.com"/>
    <s v="United States"/>
    <s v="Rob"/>
    <s v="D"/>
    <x v="2"/>
    <n v="20.584999999999997"/>
    <n v="82.339999999999989"/>
    <x v="0"/>
    <x v="2"/>
    <x v="0"/>
  </r>
  <r>
    <s v="QWY-99467-368"/>
    <x v="609"/>
    <s v="96434-50068-DZ"/>
    <s v="A-D-2.5"/>
    <n v="1"/>
    <s v="Nadeen Broomer"/>
    <s v="nbroomern6@examiner.com"/>
    <s v="United States"/>
    <s v="Ara"/>
    <s v="D"/>
    <x v="2"/>
    <n v="22.884999999999998"/>
    <n v="22.884999999999998"/>
    <x v="2"/>
    <x v="2"/>
    <x v="1"/>
  </r>
  <r>
    <s v="SRG-76791-614"/>
    <x v="147"/>
    <s v="11729-74102-XB"/>
    <s v="E-L-0.5"/>
    <n v="1"/>
    <s v="Konstantine Thoumasson"/>
    <s v="kthoumassonn7@bloglovin.com"/>
    <s v="United States"/>
    <s v="Exc"/>
    <s v="L"/>
    <x v="1"/>
    <n v="8.91"/>
    <n v="8.91"/>
    <x v="1"/>
    <x v="1"/>
    <x v="0"/>
  </r>
  <r>
    <s v="VSN-94485-621"/>
    <x v="172"/>
    <s v="88116-12604-TE"/>
    <s v="A-D-0.2"/>
    <n v="4"/>
    <s v="Frans Habbergham"/>
    <s v="fhabberghamn8@discovery.com"/>
    <s v="United States"/>
    <s v="Ara"/>
    <s v="D"/>
    <x v="3"/>
    <n v="2.9849999999999999"/>
    <n v="11.94"/>
    <x v="2"/>
    <x v="2"/>
    <x v="1"/>
  </r>
  <r>
    <s v="UFZ-24348-219"/>
    <x v="610"/>
    <s v="27930-59250-JT"/>
    <s v="L-M-2.5"/>
    <n v="3"/>
    <s v="Allis Wilmore"/>
    <n v="0"/>
    <s v="United States"/>
    <s v="Lib"/>
    <s v="M"/>
    <x v="2"/>
    <n v="33.464999999999996"/>
    <n v="100.39499999999998"/>
    <x v="3"/>
    <x v="0"/>
    <x v="1"/>
  </r>
  <r>
    <s v="UKS-93055-397"/>
    <x v="611"/>
    <s v="13082-41034-PD"/>
    <s v="A-D-2.5"/>
    <n v="5"/>
    <s v="Romain Avrashin"/>
    <s v="ravrashinna@tamu.edu"/>
    <s v="United States"/>
    <s v="Ara"/>
    <s v="D"/>
    <x v="2"/>
    <n v="22.884999999999998"/>
    <n v="114.42499999999998"/>
    <x v="2"/>
    <x v="2"/>
    <x v="1"/>
  </r>
  <r>
    <s v="AVH-56062-335"/>
    <x v="612"/>
    <s v="18082-74419-QH"/>
    <s v="E-M-0.5"/>
    <n v="5"/>
    <s v="Miran Doidge"/>
    <s v="mdoidgenb@etsy.com"/>
    <s v="United States"/>
    <s v="Exc"/>
    <s v="M"/>
    <x v="1"/>
    <n v="8.25"/>
    <n v="41.25"/>
    <x v="1"/>
    <x v="0"/>
    <x v="1"/>
  </r>
  <r>
    <s v="HGE-19842-613"/>
    <x v="613"/>
    <s v="49401-45041-ZU"/>
    <s v="R-L-0.5"/>
    <n v="4"/>
    <s v="Janeva Edinboro"/>
    <s v="jedinboronc@reverbnation.com"/>
    <s v="United States"/>
    <s v="Rob"/>
    <s v="L"/>
    <x v="1"/>
    <n v="7.169999999999999"/>
    <n v="28.679999999999996"/>
    <x v="0"/>
    <x v="1"/>
    <x v="0"/>
  </r>
  <r>
    <s v="WBA-85905-175"/>
    <x v="611"/>
    <s v="41252-45992-VS"/>
    <s v="L-M-0.2"/>
    <n v="1"/>
    <s v="Trumaine Tewelson"/>
    <s v="ttewelsonnd@cdbaby.com"/>
    <s v="United States"/>
    <s v="Lib"/>
    <s v="M"/>
    <x v="3"/>
    <n v="4.3650000000000002"/>
    <n v="4.3650000000000002"/>
    <x v="3"/>
    <x v="0"/>
    <x v="1"/>
  </r>
  <r>
    <s v="DZI-35365-596"/>
    <x v="493"/>
    <s v="54798-14109-HC"/>
    <s v="E-M-0.2"/>
    <n v="2"/>
    <s v="Odelia Skerme"/>
    <s v="oskermen3@hatena.ne.jp"/>
    <s v="United States"/>
    <s v="Exc"/>
    <s v="M"/>
    <x v="3"/>
    <n v="4.125"/>
    <n v="8.25"/>
    <x v="1"/>
    <x v="0"/>
    <x v="0"/>
  </r>
  <r>
    <s v="XIR-88982-743"/>
    <x v="614"/>
    <s v="00852-54571-WP"/>
    <s v="E-M-0.2"/>
    <n v="2"/>
    <s v="De Drewitt"/>
    <s v="ddrewittnf@mapquest.com"/>
    <s v="United States"/>
    <s v="Exc"/>
    <s v="M"/>
    <x v="3"/>
    <n v="4.125"/>
    <n v="8.25"/>
    <x v="1"/>
    <x v="0"/>
    <x v="0"/>
  </r>
  <r>
    <s v="VUC-72395-865"/>
    <x v="151"/>
    <s v="13321-57602-GK"/>
    <s v="A-D-0.5"/>
    <n v="6"/>
    <s v="Adelheid Gladhill"/>
    <s v="agladhillng@stanford.edu"/>
    <s v="United States"/>
    <s v="Ara"/>
    <s v="D"/>
    <x v="1"/>
    <n v="5.97"/>
    <n v="35.82"/>
    <x v="2"/>
    <x v="2"/>
    <x v="0"/>
  </r>
  <r>
    <s v="BQJ-44755-910"/>
    <x v="489"/>
    <s v="75006-89922-VW"/>
    <s v="E-D-2.5"/>
    <n v="6"/>
    <s v="Murielle Lorinez"/>
    <s v="mlorineznh@whitehouse.gov"/>
    <s v="United States"/>
    <s v="Exc"/>
    <s v="D"/>
    <x v="2"/>
    <n v="27.945"/>
    <n v="167.67000000000002"/>
    <x v="1"/>
    <x v="2"/>
    <x v="1"/>
  </r>
  <r>
    <s v="JKC-64636-831"/>
    <x v="615"/>
    <s v="52098-80103-FD"/>
    <s v="A-M-2.5"/>
    <n v="2"/>
    <s v="Edin Mathe"/>
    <n v="0"/>
    <s v="United States"/>
    <s v="Ara"/>
    <s v="M"/>
    <x v="2"/>
    <n v="25.874999999999996"/>
    <n v="51.749999999999993"/>
    <x v="2"/>
    <x v="0"/>
    <x v="0"/>
  </r>
  <r>
    <s v="ZKI-78561-066"/>
    <x v="616"/>
    <s v="60121-12432-VU"/>
    <s v="A-D-0.2"/>
    <n v="3"/>
    <s v="Mordy Van Der Vlies"/>
    <s v="mvannj@wikipedia.org"/>
    <s v="United States"/>
    <s v="Ara"/>
    <s v="D"/>
    <x v="3"/>
    <n v="2.9849999999999999"/>
    <n v="8.9550000000000001"/>
    <x v="2"/>
    <x v="2"/>
    <x v="0"/>
  </r>
  <r>
    <s v="IMP-12563-728"/>
    <x v="578"/>
    <s v="68346-14810-UA"/>
    <s v="E-L-0.5"/>
    <n v="6"/>
    <s v="Spencer Wastell"/>
    <n v="0"/>
    <s v="United States"/>
    <s v="Exc"/>
    <s v="L"/>
    <x v="1"/>
    <n v="8.91"/>
    <n v="53.46"/>
    <x v="1"/>
    <x v="1"/>
    <x v="1"/>
  </r>
  <r>
    <s v="MZL-81126-390"/>
    <x v="617"/>
    <s v="48464-99723-HK"/>
    <s v="A-L-0.2"/>
    <n v="6"/>
    <s v="Jemimah Ethelston"/>
    <s v="jethelstonnl@creativecommons.org"/>
    <s v="United States"/>
    <s v="Ara"/>
    <s v="L"/>
    <x v="3"/>
    <n v="3.8849999999999998"/>
    <n v="23.31"/>
    <x v="2"/>
    <x v="1"/>
    <x v="0"/>
  </r>
  <r>
    <s v="MZL-81126-390"/>
    <x v="617"/>
    <s v="48464-99723-HK"/>
    <s v="A-M-0.2"/>
    <n v="2"/>
    <s v="Jemimah Ethelston"/>
    <s v="jethelstonnl@creativecommons.org"/>
    <s v="United States"/>
    <s v="Ara"/>
    <s v="M"/>
    <x v="3"/>
    <n v="3.375"/>
    <n v="6.75"/>
    <x v="2"/>
    <x v="0"/>
    <x v="0"/>
  </r>
  <r>
    <s v="TVF-57766-608"/>
    <x v="155"/>
    <s v="88420-46464-XE"/>
    <s v="L-D-0.5"/>
    <n v="1"/>
    <s v="Perice Eberz"/>
    <s v="peberznn@woothemes.com"/>
    <s v="United States"/>
    <s v="Lib"/>
    <s v="D"/>
    <x v="1"/>
    <n v="7.77"/>
    <n v="7.77"/>
    <x v="3"/>
    <x v="2"/>
    <x v="0"/>
  </r>
  <r>
    <s v="RUX-37995-892"/>
    <x v="461"/>
    <s v="37762-09530-MP"/>
    <s v="L-D-2.5"/>
    <n v="4"/>
    <s v="Bear Gaish"/>
    <s v="bgaishno@altervista.org"/>
    <s v="United States"/>
    <s v="Lib"/>
    <s v="D"/>
    <x v="2"/>
    <n v="29.784999999999997"/>
    <n v="119.13999999999999"/>
    <x v="3"/>
    <x v="2"/>
    <x v="0"/>
  </r>
  <r>
    <s v="AVK-76526-953"/>
    <x v="87"/>
    <s v="47268-50127-XY"/>
    <s v="A-D-1"/>
    <n v="2"/>
    <s v="Lynnea Danton"/>
    <s v="ldantonnp@miitbeian.gov.cn"/>
    <s v="United States"/>
    <s v="Ara"/>
    <s v="D"/>
    <x v="0"/>
    <n v="9.9499999999999993"/>
    <n v="19.899999999999999"/>
    <x v="2"/>
    <x v="2"/>
    <x v="1"/>
  </r>
  <r>
    <s v="RIU-02231-623"/>
    <x v="618"/>
    <s v="25544-84179-QC"/>
    <s v="R-L-0.5"/>
    <n v="5"/>
    <s v="Skipton Morrall"/>
    <s v="smorrallnq@answers.com"/>
    <s v="United States"/>
    <s v="Rob"/>
    <s v="L"/>
    <x v="1"/>
    <n v="7.169999999999999"/>
    <n v="35.849999999999994"/>
    <x v="0"/>
    <x v="1"/>
    <x v="0"/>
  </r>
  <r>
    <s v="WFK-99317-827"/>
    <x v="619"/>
    <s v="32058-76765-ZL"/>
    <s v="L-D-2.5"/>
    <n v="3"/>
    <s v="Devan Crownshaw"/>
    <s v="dcrownshawnr@photobucket.com"/>
    <s v="United States"/>
    <s v="Lib"/>
    <s v="D"/>
    <x v="2"/>
    <n v="29.784999999999997"/>
    <n v="89.35499999999999"/>
    <x v="3"/>
    <x v="2"/>
    <x v="1"/>
  </r>
  <r>
    <s v="SFD-00372-284"/>
    <x v="440"/>
    <s v="54798-14109-HC"/>
    <s v="L-M-0.2"/>
    <n v="2"/>
    <s v="Odelia Skerme"/>
    <s v="oskermen3@hatena.ne.jp"/>
    <s v="United States"/>
    <s v="Lib"/>
    <s v="M"/>
    <x v="3"/>
    <n v="4.3650000000000002"/>
    <n v="8.73"/>
    <x v="3"/>
    <x v="0"/>
    <x v="0"/>
  </r>
  <r>
    <s v="SXC-62166-515"/>
    <x v="489"/>
    <s v="69171-65646-UC"/>
    <s v="R-L-2.5"/>
    <n v="5"/>
    <s v="Joceline Reddoch"/>
    <s v="jreddochnt@sun.com"/>
    <s v="United States"/>
    <s v="Rob"/>
    <s v="L"/>
    <x v="2"/>
    <n v="27.484999999999996"/>
    <n v="137.42499999999998"/>
    <x v="0"/>
    <x v="1"/>
    <x v="1"/>
  </r>
  <r>
    <s v="YIE-87008-621"/>
    <x v="620"/>
    <s v="22503-52799-MI"/>
    <s v="L-M-0.5"/>
    <n v="4"/>
    <s v="Shelley Titley"/>
    <s v="stitleynu@whitehouse.gov"/>
    <s v="United States"/>
    <s v="Lib"/>
    <s v="M"/>
    <x v="1"/>
    <n v="8.73"/>
    <n v="34.92"/>
    <x v="3"/>
    <x v="0"/>
    <x v="1"/>
  </r>
  <r>
    <s v="HRM-94548-288"/>
    <x v="621"/>
    <s v="08934-65581-ZI"/>
    <s v="A-L-2.5"/>
    <n v="6"/>
    <s v="Redd Simao"/>
    <s v="rsimaonv@simplemachines.org"/>
    <s v="United States"/>
    <s v="Ara"/>
    <s v="L"/>
    <x v="2"/>
    <n v="29.784999999999997"/>
    <n v="178.70999999999998"/>
    <x v="2"/>
    <x v="1"/>
    <x v="1"/>
  </r>
  <r>
    <s v="UJG-34731-295"/>
    <x v="374"/>
    <s v="15764-22559-ZT"/>
    <s v="A-M-2.5"/>
    <n v="1"/>
    <s v="Cece Inker"/>
    <n v="0"/>
    <s v="United States"/>
    <s v="Ara"/>
    <s v="M"/>
    <x v="2"/>
    <n v="25.874999999999996"/>
    <n v="25.874999999999996"/>
    <x v="2"/>
    <x v="0"/>
    <x v="1"/>
  </r>
  <r>
    <s v="TWD-70988-853"/>
    <x v="345"/>
    <s v="87519-68847-ZG"/>
    <s v="L-D-1"/>
    <n v="6"/>
    <s v="Noel Chisholm"/>
    <s v="nchisholmnx@example.com"/>
    <s v="United States"/>
    <s v="Lib"/>
    <s v="D"/>
    <x v="0"/>
    <n v="12.95"/>
    <n v="77.699999999999989"/>
    <x v="3"/>
    <x v="2"/>
    <x v="0"/>
  </r>
  <r>
    <s v="CIX-22904-641"/>
    <x v="622"/>
    <s v="78012-56878-UB"/>
    <s v="R-M-1"/>
    <n v="1"/>
    <s v="Grazia Oats"/>
    <s v="goatsny@live.com"/>
    <s v="United States"/>
    <s v="Rob"/>
    <s v="M"/>
    <x v="0"/>
    <n v="9.9499999999999993"/>
    <n v="9.9499999999999993"/>
    <x v="0"/>
    <x v="0"/>
    <x v="0"/>
  </r>
  <r>
    <s v="DLV-65840-759"/>
    <x v="623"/>
    <s v="77192-72145-RG"/>
    <s v="L-M-1"/>
    <n v="2"/>
    <s v="Meade Birkin"/>
    <s v="mbirkinnz@java.com"/>
    <s v="United States"/>
    <s v="Lib"/>
    <s v="M"/>
    <x v="0"/>
    <n v="14.55"/>
    <n v="29.1"/>
    <x v="3"/>
    <x v="0"/>
    <x v="0"/>
  </r>
  <r>
    <s v="RXN-55491-201"/>
    <x v="354"/>
    <s v="86071-79238-CX"/>
    <s v="R-L-0.2"/>
    <n v="6"/>
    <s v="Ronda Pyson"/>
    <s v="rpysono0@constantcontact.com"/>
    <s v="Ireland"/>
    <s v="Rob"/>
    <s v="L"/>
    <x v="3"/>
    <n v="3.5849999999999995"/>
    <n v="21.509999999999998"/>
    <x v="0"/>
    <x v="1"/>
    <x v="1"/>
  </r>
  <r>
    <s v="UHK-63283-868"/>
    <x v="624"/>
    <s v="16809-16936-WF"/>
    <s v="A-M-0.5"/>
    <n v="1"/>
    <s v="Modesty MacConnechie"/>
    <s v="mmacconnechieo9@reuters.com"/>
    <s v="United States"/>
    <s v="Ara"/>
    <s v="M"/>
    <x v="1"/>
    <n v="6.75"/>
    <n v="6.75"/>
    <x v="2"/>
    <x v="0"/>
    <x v="0"/>
  </r>
  <r>
    <s v="PJC-31401-893"/>
    <x v="561"/>
    <s v="11212-69985-ZJ"/>
    <s v="A-D-0.5"/>
    <n v="3"/>
    <s v="Rafaela Treacher"/>
    <s v="rtreachero2@usa.gov"/>
    <s v="Ireland"/>
    <s v="Ara"/>
    <s v="D"/>
    <x v="1"/>
    <n v="5.97"/>
    <n v="17.91"/>
    <x v="2"/>
    <x v="2"/>
    <x v="1"/>
  </r>
  <r>
    <s v="HHO-79903-185"/>
    <x v="42"/>
    <s v="53893-01719-CL"/>
    <s v="A-L-2.5"/>
    <n v="1"/>
    <s v="Bee Fattorini"/>
    <s v="bfattorinio3@quantcast.com"/>
    <s v="Ireland"/>
    <s v="Ara"/>
    <s v="L"/>
    <x v="2"/>
    <n v="29.784999999999997"/>
    <n v="29.784999999999997"/>
    <x v="2"/>
    <x v="1"/>
    <x v="0"/>
  </r>
  <r>
    <s v="YWM-07310-594"/>
    <x v="267"/>
    <s v="66028-99867-WJ"/>
    <s v="E-M-0.5"/>
    <n v="5"/>
    <s v="Margie Palleske"/>
    <s v="mpalleskeo4@nyu.edu"/>
    <s v="United States"/>
    <s v="Exc"/>
    <s v="M"/>
    <x v="1"/>
    <n v="8.25"/>
    <n v="41.25"/>
    <x v="1"/>
    <x v="0"/>
    <x v="0"/>
  </r>
  <r>
    <s v="FHD-94983-982"/>
    <x v="625"/>
    <s v="62839-56723-CH"/>
    <s v="R-M-0.5"/>
    <n v="3"/>
    <s v="Alexina Randals"/>
    <n v="0"/>
    <s v="United States"/>
    <s v="Rob"/>
    <s v="M"/>
    <x v="1"/>
    <n v="5.97"/>
    <n v="17.91"/>
    <x v="0"/>
    <x v="0"/>
    <x v="0"/>
  </r>
  <r>
    <s v="WQK-10857-119"/>
    <x v="616"/>
    <s v="96849-52854-CR"/>
    <s v="E-D-0.5"/>
    <n v="1"/>
    <s v="Filip Antcliffe"/>
    <s v="fantcliffeo6@amazon.co.jp"/>
    <s v="Ireland"/>
    <s v="Exc"/>
    <s v="D"/>
    <x v="1"/>
    <n v="7.29"/>
    <n v="7.29"/>
    <x v="1"/>
    <x v="2"/>
    <x v="0"/>
  </r>
  <r>
    <s v="DXA-50313-073"/>
    <x v="626"/>
    <s v="19755-55847-VW"/>
    <s v="E-L-1"/>
    <n v="2"/>
    <s v="Peyter Matignon"/>
    <s v="pmatignono7@harvard.edu"/>
    <s v="United Kingdom"/>
    <s v="Exc"/>
    <s v="L"/>
    <x v="0"/>
    <n v="14.85"/>
    <n v="29.7"/>
    <x v="1"/>
    <x v="1"/>
    <x v="0"/>
  </r>
  <r>
    <s v="ONW-00560-570"/>
    <x v="52"/>
    <s v="32900-82606-BO"/>
    <s v="A-M-1"/>
    <n v="2"/>
    <s v="Claudie Weond"/>
    <s v="cweondo8@theglobeandmail.com"/>
    <s v="United States"/>
    <s v="Ara"/>
    <s v="M"/>
    <x v="0"/>
    <n v="11.25"/>
    <n v="22.5"/>
    <x v="2"/>
    <x v="0"/>
    <x v="1"/>
  </r>
  <r>
    <s v="BRJ-19414-277"/>
    <x v="622"/>
    <s v="16809-16936-WF"/>
    <s v="R-M-0.2"/>
    <n v="4"/>
    <s v="Modesty MacConnechie"/>
    <s v="mmacconnechieo9@reuters.com"/>
    <s v="United States"/>
    <s v="Rob"/>
    <s v="M"/>
    <x v="3"/>
    <n v="2.9849999999999999"/>
    <n v="11.94"/>
    <x v="0"/>
    <x v="0"/>
    <x v="0"/>
  </r>
  <r>
    <s v="MIQ-16322-908"/>
    <x v="627"/>
    <s v="20118-28138-QD"/>
    <s v="A-L-1"/>
    <n v="2"/>
    <s v="Jaquenette Skentelbery"/>
    <s v="jskentelberyoa@paypal.com"/>
    <s v="United States"/>
    <s v="Ara"/>
    <s v="L"/>
    <x v="0"/>
    <n v="12.95"/>
    <n v="25.9"/>
    <x v="2"/>
    <x v="1"/>
    <x v="1"/>
  </r>
  <r>
    <s v="MVO-39328-830"/>
    <x v="628"/>
    <s v="84057-45461-AH"/>
    <s v="L-M-0.5"/>
    <n v="5"/>
    <s v="Orazio Comber"/>
    <s v="ocomberob@goo.gl"/>
    <s v="Ireland"/>
    <s v="Lib"/>
    <s v="M"/>
    <x v="1"/>
    <n v="8.73"/>
    <n v="43.650000000000006"/>
    <x v="3"/>
    <x v="0"/>
    <x v="1"/>
  </r>
  <r>
    <s v="MVO-39328-830"/>
    <x v="628"/>
    <s v="84057-45461-AH"/>
    <s v="A-L-0.5"/>
    <n v="6"/>
    <s v="Orazio Comber"/>
    <s v="ocomberob@goo.gl"/>
    <s v="Ireland"/>
    <s v="Ara"/>
    <s v="L"/>
    <x v="1"/>
    <n v="7.77"/>
    <n v="46.62"/>
    <x v="2"/>
    <x v="1"/>
    <x v="1"/>
  </r>
  <r>
    <s v="NTJ-88319-746"/>
    <x v="629"/>
    <s v="90882-88130-KQ"/>
    <s v="L-L-0.5"/>
    <n v="3"/>
    <s v="Zachary Tramel"/>
    <s v="ztramelod@netlog.com"/>
    <s v="United States"/>
    <s v="Lib"/>
    <s v="L"/>
    <x v="1"/>
    <n v="9.51"/>
    <n v="28.53"/>
    <x v="3"/>
    <x v="1"/>
    <x v="1"/>
  </r>
  <r>
    <s v="LCY-24377-948"/>
    <x v="630"/>
    <s v="21617-79890-DD"/>
    <s v="R-L-2.5"/>
    <n v="1"/>
    <s v="Izaak Primak"/>
    <n v="0"/>
    <s v="United States"/>
    <s v="Rob"/>
    <s v="L"/>
    <x v="2"/>
    <n v="27.484999999999996"/>
    <n v="27.484999999999996"/>
    <x v="0"/>
    <x v="1"/>
    <x v="0"/>
  </r>
  <r>
    <s v="FWD-85967-769"/>
    <x v="631"/>
    <s v="20256-54689-LO"/>
    <s v="E-D-0.2"/>
    <n v="3"/>
    <s v="Brittani Thoresbie"/>
    <n v="0"/>
    <s v="United States"/>
    <s v="Exc"/>
    <s v="D"/>
    <x v="3"/>
    <n v="3.645"/>
    <n v="10.935"/>
    <x v="1"/>
    <x v="2"/>
    <x v="1"/>
  </r>
  <r>
    <s v="KTO-53793-109"/>
    <x v="229"/>
    <s v="17572-27091-AA"/>
    <s v="R-L-0.2"/>
    <n v="2"/>
    <s v="Constanta Hatfull"/>
    <s v="chatfullog@ebay.com"/>
    <s v="United States"/>
    <s v="Rob"/>
    <s v="L"/>
    <x v="3"/>
    <n v="3.5849999999999995"/>
    <n v="7.169999999999999"/>
    <x v="0"/>
    <x v="1"/>
    <x v="1"/>
  </r>
  <r>
    <s v="OCK-89033-348"/>
    <x v="632"/>
    <s v="82300-88786-UE"/>
    <s v="A-L-0.2"/>
    <n v="6"/>
    <s v="Bobbe Castagneto"/>
    <n v="0"/>
    <s v="United States"/>
    <s v="Ara"/>
    <s v="L"/>
    <x v="3"/>
    <n v="3.8849999999999998"/>
    <n v="23.31"/>
    <x v="2"/>
    <x v="1"/>
    <x v="0"/>
  </r>
  <r>
    <s v="GPZ-36017-366"/>
    <x v="633"/>
    <s v="65732-22589-OW"/>
    <s v="A-D-2.5"/>
    <n v="5"/>
    <s v="Kippie Marrison"/>
    <s v="kmarrisonoq@dropbox.com"/>
    <s v="United States"/>
    <s v="Ara"/>
    <s v="D"/>
    <x v="2"/>
    <n v="22.884999999999998"/>
    <n v="114.42499999999998"/>
    <x v="2"/>
    <x v="2"/>
    <x v="0"/>
  </r>
  <r>
    <s v="BZP-33213-637"/>
    <x v="95"/>
    <s v="77175-09826-SF"/>
    <s v="A-M-2.5"/>
    <n v="3"/>
    <s v="Lindon Agnolo"/>
    <s v="lagnolooj@pinterest.com"/>
    <s v="United States"/>
    <s v="Ara"/>
    <s v="M"/>
    <x v="2"/>
    <n v="25.874999999999996"/>
    <n v="77.624999999999986"/>
    <x v="2"/>
    <x v="0"/>
    <x v="0"/>
  </r>
  <r>
    <s v="WFH-21507-708"/>
    <x v="521"/>
    <s v="07237-32539-NB"/>
    <s v="R-D-0.5"/>
    <n v="1"/>
    <s v="Delainey Kiddy"/>
    <s v="dkiddyok@fda.gov"/>
    <s v="United States"/>
    <s v="Rob"/>
    <s v="D"/>
    <x v="1"/>
    <n v="5.3699999999999992"/>
    <n v="5.3699999999999992"/>
    <x v="0"/>
    <x v="2"/>
    <x v="0"/>
  </r>
  <r>
    <s v="HST-96923-073"/>
    <x v="76"/>
    <s v="54722-76431-EX"/>
    <s v="R-D-2.5"/>
    <n v="6"/>
    <s v="Helli Petroulis"/>
    <s v="hpetroulisol@state.tx.us"/>
    <s v="Ireland"/>
    <s v="Rob"/>
    <s v="D"/>
    <x v="2"/>
    <n v="20.584999999999997"/>
    <n v="123.50999999999999"/>
    <x v="0"/>
    <x v="2"/>
    <x v="1"/>
  </r>
  <r>
    <s v="ENN-79947-323"/>
    <x v="634"/>
    <s v="67847-82662-TE"/>
    <s v="L-M-0.5"/>
    <n v="2"/>
    <s v="Marty Scholl"/>
    <s v="mschollom@taobao.com"/>
    <s v="United States"/>
    <s v="Lib"/>
    <s v="M"/>
    <x v="1"/>
    <n v="8.73"/>
    <n v="17.46"/>
    <x v="3"/>
    <x v="0"/>
    <x v="1"/>
  </r>
  <r>
    <s v="BHA-47429-889"/>
    <x v="635"/>
    <s v="51114-51191-EW"/>
    <s v="E-L-0.2"/>
    <n v="3"/>
    <s v="Kienan Ferson"/>
    <s v="kfersonon@g.co"/>
    <s v="United States"/>
    <s v="Exc"/>
    <s v="L"/>
    <x v="3"/>
    <n v="4.4550000000000001"/>
    <n v="13.365"/>
    <x v="1"/>
    <x v="1"/>
    <x v="1"/>
  </r>
  <r>
    <s v="SZY-63017-318"/>
    <x v="636"/>
    <s v="91809-58808-TV"/>
    <s v="A-L-0.2"/>
    <n v="2"/>
    <s v="Blake Kelloway"/>
    <s v="bkellowayoo@omniture.com"/>
    <s v="United States"/>
    <s v="Ara"/>
    <s v="L"/>
    <x v="3"/>
    <n v="3.8849999999999998"/>
    <n v="7.77"/>
    <x v="2"/>
    <x v="1"/>
    <x v="0"/>
  </r>
  <r>
    <s v="LCU-93317-340"/>
    <x v="637"/>
    <s v="84996-26826-DK"/>
    <s v="R-D-0.2"/>
    <n v="1"/>
    <s v="Scarlett Oliffe"/>
    <s v="soliffeop@yellowbook.com"/>
    <s v="United States"/>
    <s v="Rob"/>
    <s v="D"/>
    <x v="3"/>
    <n v="2.6849999999999996"/>
    <n v="2.6849999999999996"/>
    <x v="0"/>
    <x v="2"/>
    <x v="0"/>
  </r>
  <r>
    <s v="UOM-71431-481"/>
    <x v="182"/>
    <s v="65732-22589-OW"/>
    <s v="R-D-2.5"/>
    <n v="1"/>
    <s v="Kippie Marrison"/>
    <s v="kmarrisonoq@dropbox.com"/>
    <s v="United States"/>
    <s v="Rob"/>
    <s v="D"/>
    <x v="2"/>
    <n v="20.584999999999997"/>
    <n v="20.584999999999997"/>
    <x v="0"/>
    <x v="2"/>
    <x v="0"/>
  </r>
  <r>
    <s v="PJH-42618-877"/>
    <x v="479"/>
    <s v="93676-95250-XJ"/>
    <s v="A-D-2.5"/>
    <n v="5"/>
    <s v="Celestia Dolohunty"/>
    <s v="cdolohuntyor@dailymail.co.uk"/>
    <s v="United States"/>
    <s v="Ara"/>
    <s v="D"/>
    <x v="2"/>
    <n v="22.884999999999998"/>
    <n v="114.42499999999998"/>
    <x v="2"/>
    <x v="2"/>
    <x v="0"/>
  </r>
  <r>
    <s v="XED-90333-402"/>
    <x v="638"/>
    <s v="28300-14355-GF"/>
    <s v="E-M-0.2"/>
    <n v="5"/>
    <s v="Patsy Vasilenko"/>
    <s v="pvasilenkoos@addtoany.com"/>
    <s v="United Kingdom"/>
    <s v="Exc"/>
    <s v="M"/>
    <x v="3"/>
    <n v="4.125"/>
    <n v="20.625"/>
    <x v="1"/>
    <x v="0"/>
    <x v="1"/>
  </r>
  <r>
    <s v="IKK-62234-199"/>
    <x v="639"/>
    <s v="91190-84826-IQ"/>
    <s v="L-L-0.5"/>
    <n v="6"/>
    <s v="Raphaela Schankelborg"/>
    <s v="rschankelborgot@ameblo.jp"/>
    <s v="United States"/>
    <s v="Lib"/>
    <s v="L"/>
    <x v="1"/>
    <n v="9.51"/>
    <n v="57.06"/>
    <x v="3"/>
    <x v="1"/>
    <x v="0"/>
  </r>
  <r>
    <s v="KAW-95195-329"/>
    <x v="640"/>
    <s v="34570-99384-AF"/>
    <s v="R-D-2.5"/>
    <n v="4"/>
    <s v="Sharity Wickens"/>
    <n v="0"/>
    <s v="Ireland"/>
    <s v="Rob"/>
    <s v="D"/>
    <x v="2"/>
    <n v="20.584999999999997"/>
    <n v="82.339999999999989"/>
    <x v="0"/>
    <x v="2"/>
    <x v="0"/>
  </r>
  <r>
    <s v="QDO-57268-842"/>
    <x v="612"/>
    <s v="57808-90533-UE"/>
    <s v="E-M-2.5"/>
    <n v="5"/>
    <s v="Derick Snow"/>
    <n v="0"/>
    <s v="United States"/>
    <s v="Exc"/>
    <s v="M"/>
    <x v="2"/>
    <n v="31.624999999999996"/>
    <n v="158.12499999999997"/>
    <x v="1"/>
    <x v="0"/>
    <x v="1"/>
  </r>
  <r>
    <s v="IIZ-24416-212"/>
    <x v="641"/>
    <s v="76060-30540-LB"/>
    <s v="R-D-0.5"/>
    <n v="6"/>
    <s v="Baxy Cargen"/>
    <s v="bcargenow@geocities.jp"/>
    <s v="United States"/>
    <s v="Rob"/>
    <s v="D"/>
    <x v="1"/>
    <n v="5.3699999999999992"/>
    <n v="32.22"/>
    <x v="0"/>
    <x v="2"/>
    <x v="0"/>
  </r>
  <r>
    <s v="AWP-11469-510"/>
    <x v="36"/>
    <s v="76730-63769-ND"/>
    <s v="E-D-1"/>
    <n v="2"/>
    <s v="Ryann Stickler"/>
    <s v="rsticklerox@printfriendly.com"/>
    <s v="United Kingdom"/>
    <s v="Exc"/>
    <s v="D"/>
    <x v="0"/>
    <n v="12.15"/>
    <n v="24.3"/>
    <x v="1"/>
    <x v="2"/>
    <x v="1"/>
  </r>
  <r>
    <s v="KXA-27983-918"/>
    <x v="642"/>
    <s v="96042-27290-EQ"/>
    <s v="R-L-0.5"/>
    <n v="5"/>
    <s v="Daryn Cassius"/>
    <n v="0"/>
    <s v="United States"/>
    <s v="Rob"/>
    <s v="L"/>
    <x v="1"/>
    <n v="7.169999999999999"/>
    <n v="35.849999999999994"/>
    <x v="0"/>
    <x v="1"/>
    <x v="1"/>
  </r>
  <r>
    <s v="VKQ-39009-292"/>
    <x v="219"/>
    <s v="57808-90533-UE"/>
    <s v="L-M-1"/>
    <n v="5"/>
    <s v="Derick Snow"/>
    <n v="0"/>
    <s v="United States"/>
    <s v="Lib"/>
    <s v="M"/>
    <x v="0"/>
    <n v="14.55"/>
    <n v="72.75"/>
    <x v="3"/>
    <x v="0"/>
    <x v="1"/>
  </r>
  <r>
    <s v="PDB-98743-282"/>
    <x v="643"/>
    <s v="51940-02669-OR"/>
    <s v="L-L-1"/>
    <n v="3"/>
    <s v="Skelly Dolohunty"/>
    <n v="0"/>
    <s v="Ireland"/>
    <s v="Lib"/>
    <s v="L"/>
    <x v="0"/>
    <n v="15.85"/>
    <n v="47.55"/>
    <x v="3"/>
    <x v="1"/>
    <x v="1"/>
  </r>
  <r>
    <s v="SXW-34014-556"/>
    <x v="644"/>
    <s v="99144-98314-GN"/>
    <s v="R-L-0.2"/>
    <n v="1"/>
    <s v="Drake Jevon"/>
    <s v="djevonp1@ibm.com"/>
    <s v="United States"/>
    <s v="Rob"/>
    <s v="L"/>
    <x v="3"/>
    <n v="3.5849999999999995"/>
    <n v="3.5849999999999995"/>
    <x v="0"/>
    <x v="1"/>
    <x v="0"/>
  </r>
  <r>
    <s v="QOJ-38788-727"/>
    <x v="136"/>
    <s v="16358-63919-CE"/>
    <s v="E-M-2.5"/>
    <n v="5"/>
    <s v="Hall Ranner"/>
    <s v="hrannerp2@omniture.com"/>
    <s v="United States"/>
    <s v="Exc"/>
    <s v="M"/>
    <x v="2"/>
    <n v="31.624999999999996"/>
    <n v="158.12499999999997"/>
    <x v="1"/>
    <x v="0"/>
    <x v="1"/>
  </r>
  <r>
    <s v="TGF-38649-658"/>
    <x v="645"/>
    <s v="67743-54817-UT"/>
    <s v="L-M-0.5"/>
    <n v="2"/>
    <s v="Berkly Imrie"/>
    <s v="bimriep3@addtoany.com"/>
    <s v="United States"/>
    <s v="Lib"/>
    <s v="M"/>
    <x v="1"/>
    <n v="8.73"/>
    <n v="17.46"/>
    <x v="3"/>
    <x v="0"/>
    <x v="1"/>
  </r>
  <r>
    <s v="EAI-25194-209"/>
    <x v="646"/>
    <s v="44601-51441-BH"/>
    <s v="A-L-2.5"/>
    <n v="5"/>
    <s v="Dorey Sopper"/>
    <s v="dsopperp4@eventbrite.com"/>
    <s v="United States"/>
    <s v="Ara"/>
    <s v="L"/>
    <x v="2"/>
    <n v="29.784999999999997"/>
    <n v="148.92499999999998"/>
    <x v="2"/>
    <x v="1"/>
    <x v="1"/>
  </r>
  <r>
    <s v="IJK-34441-720"/>
    <x v="647"/>
    <s v="97201-58870-WB"/>
    <s v="A-M-0.5"/>
    <n v="6"/>
    <s v="Darcy Lochran"/>
    <n v="0"/>
    <s v="United States"/>
    <s v="Ara"/>
    <s v="M"/>
    <x v="1"/>
    <n v="6.75"/>
    <n v="40.5"/>
    <x v="2"/>
    <x v="0"/>
    <x v="0"/>
  </r>
  <r>
    <s v="ZMC-00336-619"/>
    <x v="591"/>
    <s v="19849-12926-QF"/>
    <s v="A-M-0.5"/>
    <n v="4"/>
    <s v="Lauritz Ledgley"/>
    <s v="lledgleyp6@de.vu"/>
    <s v="United States"/>
    <s v="Ara"/>
    <s v="M"/>
    <x v="1"/>
    <n v="6.75"/>
    <n v="27"/>
    <x v="2"/>
    <x v="0"/>
    <x v="0"/>
  </r>
  <r>
    <s v="UPX-54529-618"/>
    <x v="648"/>
    <s v="40535-56770-UM"/>
    <s v="L-D-1"/>
    <n v="3"/>
    <s v="Tawnya Menary"/>
    <s v="tmenaryp7@phoca.cz"/>
    <s v="United States"/>
    <s v="Lib"/>
    <s v="D"/>
    <x v="0"/>
    <n v="12.95"/>
    <n v="38.849999999999994"/>
    <x v="3"/>
    <x v="2"/>
    <x v="1"/>
  </r>
  <r>
    <s v="DLX-01059-899"/>
    <x v="191"/>
    <s v="74940-09646-MU"/>
    <s v="R-L-1"/>
    <n v="5"/>
    <s v="Gustaf Ciccotti"/>
    <s v="gciccottip8@so-net.ne.jp"/>
    <s v="United States"/>
    <s v="Rob"/>
    <s v="L"/>
    <x v="0"/>
    <n v="11.95"/>
    <n v="59.75"/>
    <x v="0"/>
    <x v="1"/>
    <x v="1"/>
  </r>
  <r>
    <s v="MEK-85120-243"/>
    <x v="649"/>
    <s v="06623-54610-HC"/>
    <s v="R-L-0.2"/>
    <n v="3"/>
    <s v="Bobbe Renner"/>
    <n v="0"/>
    <s v="United States"/>
    <s v="Rob"/>
    <s v="L"/>
    <x v="3"/>
    <n v="3.5849999999999995"/>
    <n v="10.754999999999999"/>
    <x v="0"/>
    <x v="1"/>
    <x v="1"/>
  </r>
  <r>
    <s v="NFI-37188-246"/>
    <x v="553"/>
    <s v="89490-75361-AF"/>
    <s v="A-D-2.5"/>
    <n v="4"/>
    <s v="Wilton Jallin"/>
    <s v="wjallinpa@pcworld.com"/>
    <s v="United States"/>
    <s v="Ara"/>
    <s v="D"/>
    <x v="2"/>
    <n v="22.884999999999998"/>
    <n v="91.539999999999992"/>
    <x v="2"/>
    <x v="2"/>
    <x v="1"/>
  </r>
  <r>
    <s v="BXH-62195-013"/>
    <x v="584"/>
    <s v="94526-79230-GZ"/>
    <s v="A-M-1"/>
    <n v="4"/>
    <s v="Mindy Bogey"/>
    <s v="mbogeypb@thetimes.co.uk"/>
    <s v="United States"/>
    <s v="Ara"/>
    <s v="M"/>
    <x v="0"/>
    <n v="11.25"/>
    <n v="45"/>
    <x v="2"/>
    <x v="0"/>
    <x v="0"/>
  </r>
  <r>
    <s v="YLK-78851-470"/>
    <x v="650"/>
    <s v="58559-08254-UY"/>
    <s v="R-M-2.5"/>
    <n v="6"/>
    <s v="Paulie Fonzone"/>
    <n v="0"/>
    <s v="United States"/>
    <s v="Rob"/>
    <s v="M"/>
    <x v="2"/>
    <n v="22.884999999999998"/>
    <n v="137.31"/>
    <x v="0"/>
    <x v="0"/>
    <x v="0"/>
  </r>
  <r>
    <s v="DXY-76225-633"/>
    <x v="121"/>
    <s v="88574-37083-WX"/>
    <s v="A-M-0.5"/>
    <n v="1"/>
    <s v="Merrile Cobbledick"/>
    <s v="mcobbledickpd@ucsd.edu"/>
    <s v="United States"/>
    <s v="Ara"/>
    <s v="M"/>
    <x v="1"/>
    <n v="6.75"/>
    <n v="6.75"/>
    <x v="2"/>
    <x v="0"/>
    <x v="1"/>
  </r>
  <r>
    <s v="UHP-24614-199"/>
    <x v="472"/>
    <s v="67953-79896-AC"/>
    <s v="A-M-1"/>
    <n v="4"/>
    <s v="Antonius Lewry"/>
    <s v="alewrype@whitehouse.gov"/>
    <s v="United States"/>
    <s v="Ara"/>
    <s v="M"/>
    <x v="0"/>
    <n v="11.25"/>
    <n v="45"/>
    <x v="2"/>
    <x v="0"/>
    <x v="1"/>
  </r>
  <r>
    <s v="HBY-35655-049"/>
    <x v="594"/>
    <s v="69207-93422-CQ"/>
    <s v="E-D-2.5"/>
    <n v="3"/>
    <s v="Isis Hessel"/>
    <s v="ihesselpf@ox.ac.uk"/>
    <s v="United States"/>
    <s v="Exc"/>
    <s v="D"/>
    <x v="2"/>
    <n v="27.945"/>
    <n v="83.835000000000008"/>
    <x v="1"/>
    <x v="2"/>
    <x v="0"/>
  </r>
  <r>
    <s v="DCE-22886-861"/>
    <x v="89"/>
    <s v="56060-17602-RG"/>
    <s v="E-D-0.2"/>
    <n v="1"/>
    <s v="Harland Trematick"/>
    <n v="0"/>
    <s v="Ireland"/>
    <s v="Exc"/>
    <s v="D"/>
    <x v="3"/>
    <n v="3.645"/>
    <n v="3.645"/>
    <x v="1"/>
    <x v="2"/>
    <x v="0"/>
  </r>
  <r>
    <s v="QTG-93823-843"/>
    <x v="651"/>
    <s v="46859-14212-FI"/>
    <s v="A-M-0.5"/>
    <n v="1"/>
    <s v="Chloris Sorrell"/>
    <s v="csorrellph@amazon.com"/>
    <s v="United Kingdom"/>
    <s v="Ara"/>
    <s v="M"/>
    <x v="1"/>
    <n v="6.75"/>
    <n v="6.75"/>
    <x v="2"/>
    <x v="0"/>
    <x v="1"/>
  </r>
  <r>
    <s v="QTG-93823-843"/>
    <x v="651"/>
    <s v="46859-14212-FI"/>
    <s v="E-D-0.5"/>
    <n v="3"/>
    <s v="Chloris Sorrell"/>
    <s v="csorrellph@amazon.com"/>
    <s v="United Kingdom"/>
    <s v="Exc"/>
    <s v="D"/>
    <x v="1"/>
    <n v="7.29"/>
    <n v="21.87"/>
    <x v="1"/>
    <x v="2"/>
    <x v="1"/>
  </r>
  <r>
    <s v="WFT-16178-396"/>
    <x v="249"/>
    <s v="33555-01585-RP"/>
    <s v="R-D-0.2"/>
    <n v="5"/>
    <s v="Quintina Heavyside"/>
    <s v="qheavysidepj@unc.edu"/>
    <s v="United States"/>
    <s v="Rob"/>
    <s v="D"/>
    <x v="3"/>
    <n v="2.6849999999999996"/>
    <n v="13.424999999999997"/>
    <x v="0"/>
    <x v="2"/>
    <x v="0"/>
  </r>
  <r>
    <s v="ERC-54560-934"/>
    <x v="652"/>
    <s v="11932-85629-CU"/>
    <s v="R-D-2.5"/>
    <n v="6"/>
    <s v="Hadley Reuven"/>
    <s v="hreuvenpk@whitehouse.gov"/>
    <s v="United States"/>
    <s v="Rob"/>
    <s v="D"/>
    <x v="2"/>
    <n v="20.584999999999997"/>
    <n v="123.50999999999999"/>
    <x v="0"/>
    <x v="2"/>
    <x v="1"/>
  </r>
  <r>
    <s v="RUK-78200-416"/>
    <x v="653"/>
    <s v="36192-07175-XC"/>
    <s v="L-D-0.2"/>
    <n v="2"/>
    <s v="Mitch Attwool"/>
    <s v="mattwoolpl@nba.com"/>
    <s v="United States"/>
    <s v="Lib"/>
    <s v="D"/>
    <x v="3"/>
    <n v="3.8849999999999998"/>
    <n v="7.77"/>
    <x v="3"/>
    <x v="2"/>
    <x v="1"/>
  </r>
  <r>
    <s v="KHK-13105-388"/>
    <x v="177"/>
    <s v="46242-54946-ZW"/>
    <s v="A-M-1"/>
    <n v="6"/>
    <s v="Charin Maplethorp"/>
    <n v="0"/>
    <s v="United States"/>
    <s v="Ara"/>
    <s v="M"/>
    <x v="0"/>
    <n v="11.25"/>
    <n v="67.5"/>
    <x v="2"/>
    <x v="0"/>
    <x v="0"/>
  </r>
  <r>
    <s v="NJR-03699-189"/>
    <x v="22"/>
    <s v="95152-82155-VQ"/>
    <s v="E-D-2.5"/>
    <n v="1"/>
    <s v="Goldie Wynes"/>
    <s v="gwynespn@dagondesign.com"/>
    <s v="United States"/>
    <s v="Exc"/>
    <s v="D"/>
    <x v="2"/>
    <n v="27.945"/>
    <n v="27.945"/>
    <x v="1"/>
    <x v="2"/>
    <x v="1"/>
  </r>
  <r>
    <s v="PJV-20427-019"/>
    <x v="508"/>
    <s v="13404-39127-WQ"/>
    <s v="A-L-2.5"/>
    <n v="3"/>
    <s v="Celie MacCourt"/>
    <s v="cmaccourtpo@amazon.com"/>
    <s v="United States"/>
    <s v="Ara"/>
    <s v="L"/>
    <x v="2"/>
    <n v="29.784999999999997"/>
    <n v="89.35499999999999"/>
    <x v="2"/>
    <x v="1"/>
    <x v="1"/>
  </r>
  <r>
    <s v="UGK-07613-982"/>
    <x v="654"/>
    <s v="57808-90533-UE"/>
    <s v="A-M-0.5"/>
    <n v="3"/>
    <s v="Derick Snow"/>
    <n v="0"/>
    <s v="United States"/>
    <s v="Ara"/>
    <s v="M"/>
    <x v="1"/>
    <n v="6.75"/>
    <n v="20.25"/>
    <x v="2"/>
    <x v="0"/>
    <x v="1"/>
  </r>
  <r>
    <s v="OLA-68289-577"/>
    <x v="524"/>
    <s v="40226-52317-IO"/>
    <s v="A-M-0.5"/>
    <n v="5"/>
    <s v="Evy Wilsone"/>
    <s v="ewilsonepq@eepurl.com"/>
    <s v="United States"/>
    <s v="Ara"/>
    <s v="M"/>
    <x v="1"/>
    <n v="6.75"/>
    <n v="33.75"/>
    <x v="2"/>
    <x v="0"/>
    <x v="0"/>
  </r>
  <r>
    <s v="TNR-84447-052"/>
    <x v="655"/>
    <s v="34419-18068-AG"/>
    <s v="E-D-2.5"/>
    <n v="4"/>
    <s v="Dolores Duffie"/>
    <s v="dduffiepr@time.com"/>
    <s v="United States"/>
    <s v="Exc"/>
    <s v="D"/>
    <x v="2"/>
    <n v="27.945"/>
    <n v="111.78"/>
    <x v="1"/>
    <x v="2"/>
    <x v="1"/>
  </r>
  <r>
    <s v="FBZ-64200-586"/>
    <x v="523"/>
    <s v="51738-61457-RS"/>
    <s v="E-M-2.5"/>
    <n v="2"/>
    <s v="Mathilda Matiasek"/>
    <s v="mmatiasekps@ucoz.ru"/>
    <s v="United States"/>
    <s v="Exc"/>
    <s v="M"/>
    <x v="2"/>
    <n v="31.624999999999996"/>
    <n v="63.249999999999993"/>
    <x v="1"/>
    <x v="0"/>
    <x v="0"/>
  </r>
  <r>
    <s v="OBN-66334-505"/>
    <x v="656"/>
    <s v="86757-52367-ON"/>
    <s v="E-L-0.2"/>
    <n v="2"/>
    <s v="Jarred Camillo"/>
    <s v="jcamillopt@shinystat.com"/>
    <s v="United States"/>
    <s v="Exc"/>
    <s v="L"/>
    <x v="3"/>
    <n v="4.4550000000000001"/>
    <n v="8.91"/>
    <x v="1"/>
    <x v="1"/>
    <x v="0"/>
  </r>
  <r>
    <s v="NXM-89323-646"/>
    <x v="657"/>
    <s v="28158-93383-CK"/>
    <s v="E-D-1"/>
    <n v="1"/>
    <s v="Kameko Philbrick"/>
    <s v="kphilbrickpu@cdc.gov"/>
    <s v="United States"/>
    <s v="Exc"/>
    <s v="D"/>
    <x v="0"/>
    <n v="12.15"/>
    <n v="12.15"/>
    <x v="1"/>
    <x v="2"/>
    <x v="0"/>
  </r>
  <r>
    <s v="NHI-23264-055"/>
    <x v="658"/>
    <s v="44799-09711-XW"/>
    <s v="A-D-0.5"/>
    <n v="4"/>
    <s v="Mallory Shrimpling"/>
    <n v="0"/>
    <s v="United States"/>
    <s v="Ara"/>
    <s v="D"/>
    <x v="1"/>
    <n v="5.97"/>
    <n v="23.88"/>
    <x v="2"/>
    <x v="2"/>
    <x v="0"/>
  </r>
  <r>
    <s v="EQH-53569-934"/>
    <x v="659"/>
    <s v="53667-91553-LT"/>
    <s v="E-M-1"/>
    <n v="4"/>
    <s v="Barnett Sillis"/>
    <s v="bsillispw@istockphoto.com"/>
    <s v="United States"/>
    <s v="Exc"/>
    <s v="M"/>
    <x v="0"/>
    <n v="13.75"/>
    <n v="55"/>
    <x v="1"/>
    <x v="0"/>
    <x v="1"/>
  </r>
  <r>
    <s v="XKK-06692-189"/>
    <x v="558"/>
    <s v="86579-92122-OC"/>
    <s v="R-D-1"/>
    <n v="3"/>
    <s v="Brenn Dundredge"/>
    <n v="0"/>
    <s v="United States"/>
    <s v="Rob"/>
    <s v="D"/>
    <x v="0"/>
    <n v="8.9499999999999993"/>
    <n v="26.849999999999998"/>
    <x v="0"/>
    <x v="2"/>
    <x v="0"/>
  </r>
  <r>
    <s v="BYP-16005-016"/>
    <x v="660"/>
    <s v="01474-63436-TP"/>
    <s v="R-M-2.5"/>
    <n v="5"/>
    <s v="Read Cutts"/>
    <s v="rcuttspy@techcrunch.com"/>
    <s v="United States"/>
    <s v="Rob"/>
    <s v="M"/>
    <x v="2"/>
    <n v="22.884999999999998"/>
    <n v="114.42499999999998"/>
    <x v="0"/>
    <x v="0"/>
    <x v="1"/>
  </r>
  <r>
    <s v="LWS-13938-905"/>
    <x v="661"/>
    <s v="90533-82440-EE"/>
    <s v="A-M-2.5"/>
    <n v="6"/>
    <s v="Michale Delves"/>
    <s v="mdelvespz@nature.com"/>
    <s v="United States"/>
    <s v="Ara"/>
    <s v="M"/>
    <x v="2"/>
    <n v="25.874999999999996"/>
    <n v="155.24999999999997"/>
    <x v="2"/>
    <x v="0"/>
    <x v="0"/>
  </r>
  <r>
    <s v="OLH-95722-362"/>
    <x v="662"/>
    <s v="48553-69225-VX"/>
    <s v="L-D-0.5"/>
    <n v="3"/>
    <s v="Devland Gritton"/>
    <s v="dgrittonq0@nydailynews.com"/>
    <s v="United States"/>
    <s v="Lib"/>
    <s v="D"/>
    <x v="1"/>
    <n v="7.77"/>
    <n v="23.31"/>
    <x v="3"/>
    <x v="2"/>
    <x v="0"/>
  </r>
  <r>
    <s v="OLH-95722-362"/>
    <x v="662"/>
    <s v="48553-69225-VX"/>
    <s v="R-M-2.5"/>
    <n v="4"/>
    <s v="Devland Gritton"/>
    <s v="dgrittonq0@nydailynews.com"/>
    <s v="United States"/>
    <s v="Rob"/>
    <s v="M"/>
    <x v="2"/>
    <n v="22.884999999999998"/>
    <n v="91.539999999999992"/>
    <x v="0"/>
    <x v="0"/>
    <x v="0"/>
  </r>
  <r>
    <s v="KCW-50949-318"/>
    <x v="184"/>
    <s v="52374-27313-IV"/>
    <s v="E-L-1"/>
    <n v="5"/>
    <s v="Dell Gut"/>
    <s v="dgutq2@umich.edu"/>
    <s v="United States"/>
    <s v="Exc"/>
    <s v="L"/>
    <x v="0"/>
    <n v="14.85"/>
    <n v="74.25"/>
    <x v="1"/>
    <x v="1"/>
    <x v="0"/>
  </r>
  <r>
    <s v="JGZ-16947-591"/>
    <x v="663"/>
    <s v="14264-41252-SL"/>
    <s v="L-L-0.2"/>
    <n v="6"/>
    <s v="Willy Pummery"/>
    <s v="wpummeryq3@topsy.com"/>
    <s v="United States"/>
    <s v="Lib"/>
    <s v="L"/>
    <x v="3"/>
    <n v="4.7549999999999999"/>
    <n v="28.53"/>
    <x v="3"/>
    <x v="1"/>
    <x v="1"/>
  </r>
  <r>
    <s v="LXS-63326-144"/>
    <x v="334"/>
    <s v="35367-50483-AR"/>
    <s v="R-L-0.5"/>
    <n v="2"/>
    <s v="Geoffrey Siuda"/>
    <s v="gsiudaq4@nytimes.com"/>
    <s v="United States"/>
    <s v="Rob"/>
    <s v="L"/>
    <x v="1"/>
    <n v="7.169999999999999"/>
    <n v="14.339999999999998"/>
    <x v="0"/>
    <x v="1"/>
    <x v="0"/>
  </r>
  <r>
    <s v="CZG-86544-655"/>
    <x v="664"/>
    <s v="69443-77665-QW"/>
    <s v="A-L-0.5"/>
    <n v="2"/>
    <s v="Henderson Crowne"/>
    <s v="hcrowneq5@wufoo.com"/>
    <s v="Ireland"/>
    <s v="Ara"/>
    <s v="L"/>
    <x v="1"/>
    <n v="7.77"/>
    <n v="15.54"/>
    <x v="2"/>
    <x v="1"/>
    <x v="0"/>
  </r>
  <r>
    <s v="WFV-88138-247"/>
    <x v="24"/>
    <s v="63411-51758-QC"/>
    <s v="R-L-1"/>
    <n v="3"/>
    <s v="Vernor Pawsey"/>
    <s v="vpawseyq6@tiny.cc"/>
    <s v="United States"/>
    <s v="Rob"/>
    <s v="L"/>
    <x v="0"/>
    <n v="11.95"/>
    <n v="35.849999999999994"/>
    <x v="0"/>
    <x v="1"/>
    <x v="1"/>
  </r>
  <r>
    <s v="RFG-28227-288"/>
    <x v="12"/>
    <s v="68605-21835-UF"/>
    <s v="A-L-0.5"/>
    <n v="6"/>
    <s v="Augustin Waterhouse"/>
    <s v="awaterhouseq7@istockphoto.com"/>
    <s v="United States"/>
    <s v="Ara"/>
    <s v="L"/>
    <x v="1"/>
    <n v="7.77"/>
    <n v="46.62"/>
    <x v="2"/>
    <x v="1"/>
    <x v="1"/>
  </r>
  <r>
    <s v="QAK-77286-758"/>
    <x v="105"/>
    <s v="34786-30419-XY"/>
    <s v="R-L-0.5"/>
    <n v="5"/>
    <s v="Fanchon Haughian"/>
    <s v="fhaughianq8@1688.com"/>
    <s v="United States"/>
    <s v="Rob"/>
    <s v="L"/>
    <x v="1"/>
    <n v="7.169999999999999"/>
    <n v="35.849999999999994"/>
    <x v="0"/>
    <x v="1"/>
    <x v="1"/>
  </r>
  <r>
    <s v="CZD-56716-840"/>
    <x v="665"/>
    <s v="15456-29250-RU"/>
    <s v="L-D-2.5"/>
    <n v="4"/>
    <s v="Jaimie Hatz"/>
    <n v="0"/>
    <s v="United States"/>
    <s v="Lib"/>
    <s v="D"/>
    <x v="2"/>
    <n v="29.784999999999997"/>
    <n v="119.13999999999999"/>
    <x v="3"/>
    <x v="2"/>
    <x v="1"/>
  </r>
  <r>
    <s v="UBI-59229-277"/>
    <x v="44"/>
    <s v="00886-35803-FG"/>
    <s v="L-D-0.5"/>
    <n v="3"/>
    <s v="Edeline Edney"/>
    <n v="0"/>
    <s v="United States"/>
    <s v="Lib"/>
    <s v="D"/>
    <x v="1"/>
    <n v="7.77"/>
    <n v="23.31"/>
    <x v="3"/>
    <x v="2"/>
    <x v="1"/>
  </r>
  <r>
    <s v="WJJ-37489-898"/>
    <x v="171"/>
    <s v="31599-82152-AD"/>
    <s v="A-M-1"/>
    <n v="1"/>
    <s v="Rickie Faltin"/>
    <s v="rfaltinqb@topsy.com"/>
    <s v="Ireland"/>
    <s v="Ara"/>
    <s v="M"/>
    <x v="0"/>
    <n v="11.25"/>
    <n v="11.25"/>
    <x v="2"/>
    <x v="0"/>
    <x v="1"/>
  </r>
  <r>
    <s v="ORX-57454-917"/>
    <x v="328"/>
    <s v="76209-39601-ZR"/>
    <s v="E-D-2.5"/>
    <n v="3"/>
    <s v="Gnni Cheeke"/>
    <s v="gcheekeqc@sitemeter.com"/>
    <s v="United Kingdom"/>
    <s v="Exc"/>
    <s v="D"/>
    <x v="2"/>
    <n v="27.945"/>
    <n v="83.835000000000008"/>
    <x v="1"/>
    <x v="2"/>
    <x v="0"/>
  </r>
  <r>
    <s v="GRB-68838-629"/>
    <x v="648"/>
    <s v="15064-65241-HB"/>
    <s v="R-L-2.5"/>
    <n v="4"/>
    <s v="Gwenni Ratt"/>
    <s v="grattqd@phpbb.com"/>
    <s v="Ireland"/>
    <s v="Rob"/>
    <s v="L"/>
    <x v="2"/>
    <n v="27.484999999999996"/>
    <n v="109.93999999999998"/>
    <x v="0"/>
    <x v="1"/>
    <x v="1"/>
  </r>
  <r>
    <s v="SHT-04865-419"/>
    <x v="666"/>
    <s v="69215-90789-DL"/>
    <s v="R-L-0.2"/>
    <n v="4"/>
    <s v="Johnath Fairebrother"/>
    <n v="0"/>
    <s v="United States"/>
    <s v="Rob"/>
    <s v="L"/>
    <x v="3"/>
    <n v="3.5849999999999995"/>
    <n v="14.339999999999998"/>
    <x v="0"/>
    <x v="1"/>
    <x v="0"/>
  </r>
  <r>
    <s v="UQI-28177-865"/>
    <x v="577"/>
    <s v="04317-46176-TB"/>
    <s v="R-L-0.2"/>
    <n v="6"/>
    <s v="Ingamar Eberlein"/>
    <s v="ieberleinqf@hc360.com"/>
    <s v="United States"/>
    <s v="Rob"/>
    <s v="L"/>
    <x v="3"/>
    <n v="3.5849999999999995"/>
    <n v="21.509999999999998"/>
    <x v="0"/>
    <x v="1"/>
    <x v="1"/>
  </r>
  <r>
    <s v="OIB-13664-879"/>
    <x v="114"/>
    <s v="04713-57765-KR"/>
    <s v="A-M-1"/>
    <n v="2"/>
    <s v="Jilly Dreng"/>
    <s v="jdrengqg@uiuc.edu"/>
    <s v="Ireland"/>
    <s v="Ara"/>
    <s v="M"/>
    <x v="0"/>
    <n v="11.25"/>
    <n v="22.5"/>
    <x v="2"/>
    <x v="0"/>
    <x v="0"/>
  </r>
  <r>
    <s v="PJS-30996-485"/>
    <x v="4"/>
    <s v="86579-92122-OC"/>
    <s v="A-L-0.2"/>
    <n v="1"/>
    <s v="Brenn Dundredge"/>
    <n v="0"/>
    <s v="United States"/>
    <s v="Ara"/>
    <s v="L"/>
    <x v="3"/>
    <n v="3.8849999999999998"/>
    <n v="3.8849999999999998"/>
    <x v="2"/>
    <x v="1"/>
    <x v="0"/>
  </r>
  <r>
    <s v="HEL-86709-449"/>
    <x v="667"/>
    <s v="86579-92122-OC"/>
    <s v="E-D-2.5"/>
    <n v="1"/>
    <s v="Brenn Dundredge"/>
    <n v="0"/>
    <s v="United States"/>
    <s v="Exc"/>
    <s v="D"/>
    <x v="2"/>
    <n v="27.945"/>
    <n v="27.945"/>
    <x v="1"/>
    <x v="2"/>
    <x v="0"/>
  </r>
  <r>
    <s v="NCH-55389-562"/>
    <x v="110"/>
    <s v="86579-92122-OC"/>
    <s v="E-L-2.5"/>
    <n v="5"/>
    <s v="Brenn Dundredge"/>
    <n v="0"/>
    <s v="United States"/>
    <s v="Exc"/>
    <s v="L"/>
    <x v="2"/>
    <n v="34.154999999999994"/>
    <n v="170.77499999999998"/>
    <x v="1"/>
    <x v="1"/>
    <x v="0"/>
  </r>
  <r>
    <s v="NCH-55389-562"/>
    <x v="110"/>
    <s v="86579-92122-OC"/>
    <s v="R-L-2.5"/>
    <n v="2"/>
    <s v="Brenn Dundredge"/>
    <n v="0"/>
    <s v="United States"/>
    <s v="Rob"/>
    <s v="L"/>
    <x v="2"/>
    <n v="27.484999999999996"/>
    <n v="54.969999999999992"/>
    <x v="0"/>
    <x v="1"/>
    <x v="0"/>
  </r>
  <r>
    <s v="NCH-55389-562"/>
    <x v="110"/>
    <s v="86579-92122-OC"/>
    <s v="E-L-1"/>
    <n v="1"/>
    <s v="Brenn Dundredge"/>
    <n v="0"/>
    <s v="United States"/>
    <s v="Exc"/>
    <s v="L"/>
    <x v="0"/>
    <n v="14.85"/>
    <n v="14.85"/>
    <x v="1"/>
    <x v="1"/>
    <x v="0"/>
  </r>
  <r>
    <s v="NCH-55389-562"/>
    <x v="110"/>
    <s v="86579-92122-OC"/>
    <s v="A-L-0.2"/>
    <n v="2"/>
    <s v="Brenn Dundredge"/>
    <n v="0"/>
    <s v="United States"/>
    <s v="Ara"/>
    <s v="L"/>
    <x v="3"/>
    <n v="3.8849999999999998"/>
    <n v="7.77"/>
    <x v="2"/>
    <x v="1"/>
    <x v="0"/>
  </r>
  <r>
    <s v="GUG-45603-775"/>
    <x v="668"/>
    <s v="40959-32642-DN"/>
    <s v="L-L-0.2"/>
    <n v="5"/>
    <s v="Rhodie Strathern"/>
    <s v="rstrathernqn@devhub.com"/>
    <s v="United States"/>
    <s v="Lib"/>
    <s v="L"/>
    <x v="3"/>
    <n v="4.7549999999999999"/>
    <n v="23.774999999999999"/>
    <x v="3"/>
    <x v="1"/>
    <x v="0"/>
  </r>
  <r>
    <s v="KJB-98240-098"/>
    <x v="422"/>
    <s v="77746-08153-PM"/>
    <s v="L-L-1"/>
    <n v="5"/>
    <s v="Chad Miguel"/>
    <s v="cmiguelqo@exblog.jp"/>
    <s v="United States"/>
    <s v="Lib"/>
    <s v="L"/>
    <x v="0"/>
    <n v="15.85"/>
    <n v="79.25"/>
    <x v="3"/>
    <x v="1"/>
    <x v="0"/>
  </r>
  <r>
    <s v="JMS-48374-462"/>
    <x v="669"/>
    <s v="49667-96708-JL"/>
    <s v="A-D-2.5"/>
    <n v="2"/>
    <s v="Florinda Matusovsky"/>
    <n v="0"/>
    <s v="United States"/>
    <s v="Ara"/>
    <s v="D"/>
    <x v="2"/>
    <n v="22.884999999999998"/>
    <n v="45.769999999999996"/>
    <x v="2"/>
    <x v="2"/>
    <x v="0"/>
  </r>
  <r>
    <s v="YIT-15877-117"/>
    <x v="670"/>
    <s v="24155-79322-EQ"/>
    <s v="R-D-1"/>
    <n v="1"/>
    <s v="Morly Rocks"/>
    <s v="mrocksqq@exblog.jp"/>
    <s v="Ireland"/>
    <s v="Rob"/>
    <s v="D"/>
    <x v="0"/>
    <n v="8.9499999999999993"/>
    <n v="8.9499999999999993"/>
    <x v="0"/>
    <x v="2"/>
    <x v="0"/>
  </r>
  <r>
    <s v="YVK-82679-655"/>
    <x v="341"/>
    <s v="95342-88311-SF"/>
    <s v="R-M-0.5"/>
    <n v="4"/>
    <s v="Yuri Burrells"/>
    <s v="yburrellsqr@vinaora.com"/>
    <s v="United States"/>
    <s v="Rob"/>
    <s v="M"/>
    <x v="1"/>
    <n v="5.97"/>
    <n v="23.88"/>
    <x v="0"/>
    <x v="0"/>
    <x v="0"/>
  </r>
  <r>
    <s v="TYH-81940-054"/>
    <x v="671"/>
    <s v="69374-08133-RI"/>
    <s v="E-L-0.2"/>
    <n v="5"/>
    <s v="Cleopatra Goodrum"/>
    <s v="cgoodrumqs@goodreads.com"/>
    <s v="United States"/>
    <s v="Exc"/>
    <s v="L"/>
    <x v="3"/>
    <n v="4.4550000000000001"/>
    <n v="22.274999999999999"/>
    <x v="1"/>
    <x v="1"/>
    <x v="1"/>
  </r>
  <r>
    <s v="HTY-30660-254"/>
    <x v="672"/>
    <s v="83844-95908-RX"/>
    <s v="R-M-1"/>
    <n v="3"/>
    <s v="Joey Jefferys"/>
    <s v="jjefferysqt@blog.com"/>
    <s v="United States"/>
    <s v="Rob"/>
    <s v="M"/>
    <x v="0"/>
    <n v="9.9499999999999993"/>
    <n v="29.849999999999998"/>
    <x v="0"/>
    <x v="0"/>
    <x v="0"/>
  </r>
  <r>
    <s v="GPW-43956-761"/>
    <x v="673"/>
    <s v="09667-09231-YM"/>
    <s v="E-L-0.5"/>
    <n v="6"/>
    <s v="Bearnard Wardell"/>
    <s v="bwardellqu@adobe.com"/>
    <s v="United States"/>
    <s v="Exc"/>
    <s v="L"/>
    <x v="1"/>
    <n v="8.91"/>
    <n v="53.46"/>
    <x v="1"/>
    <x v="1"/>
    <x v="0"/>
  </r>
  <r>
    <s v="DWY-56352-412"/>
    <x v="674"/>
    <s v="55427-08059-DF"/>
    <s v="R-D-0.2"/>
    <n v="1"/>
    <s v="Zeke Walisiak"/>
    <s v="zwalisiakqv@ucsd.edu"/>
    <s v="Ireland"/>
    <s v="Rob"/>
    <s v="D"/>
    <x v="3"/>
    <n v="2.6849999999999996"/>
    <n v="2.6849999999999996"/>
    <x v="0"/>
    <x v="2"/>
    <x v="0"/>
  </r>
  <r>
    <s v="PUH-55647-976"/>
    <x v="675"/>
    <s v="06624-54037-BQ"/>
    <s v="R-M-0.2"/>
    <n v="2"/>
    <s v="Wiley Leopold"/>
    <s v="wleopoldqw@blogspot.com"/>
    <s v="United States"/>
    <s v="Rob"/>
    <s v="M"/>
    <x v="3"/>
    <n v="2.9849999999999999"/>
    <n v="5.97"/>
    <x v="0"/>
    <x v="0"/>
    <x v="1"/>
  </r>
  <r>
    <s v="DTB-71371-705"/>
    <x v="539"/>
    <s v="48544-90737-AZ"/>
    <s v="L-D-1"/>
    <n v="1"/>
    <s v="Chiarra Shalders"/>
    <s v="cshaldersqx@cisco.com"/>
    <s v="United States"/>
    <s v="Lib"/>
    <s v="D"/>
    <x v="0"/>
    <n v="12.95"/>
    <n v="12.95"/>
    <x v="3"/>
    <x v="2"/>
    <x v="0"/>
  </r>
  <r>
    <s v="ZDC-64769-740"/>
    <x v="676"/>
    <s v="79463-01597-FQ"/>
    <s v="E-M-0.5"/>
    <n v="1"/>
    <s v="Sharl Southerill"/>
    <n v="0"/>
    <s v="United States"/>
    <s v="Exc"/>
    <s v="M"/>
    <x v="1"/>
    <n v="8.25"/>
    <n v="8.25"/>
    <x v="1"/>
    <x v="0"/>
    <x v="1"/>
  </r>
  <r>
    <s v="TED-81959-419"/>
    <x v="677"/>
    <s v="27702-50024-XC"/>
    <s v="A-L-2.5"/>
    <n v="5"/>
    <s v="Noni Furber"/>
    <s v="nfurberqz@jugem.jp"/>
    <s v="United States"/>
    <s v="Ara"/>
    <s v="L"/>
    <x v="2"/>
    <n v="29.784999999999997"/>
    <n v="148.92499999999998"/>
    <x v="2"/>
    <x v="1"/>
    <x v="1"/>
  </r>
  <r>
    <s v="FDO-25756-141"/>
    <x v="629"/>
    <s v="57360-46846-NS"/>
    <s v="A-L-2.5"/>
    <n v="3"/>
    <s v="Dinah Crutcher"/>
    <n v="0"/>
    <s v="Ireland"/>
    <s v="Ara"/>
    <s v="L"/>
    <x v="2"/>
    <n v="29.784999999999997"/>
    <n v="89.35499999999999"/>
    <x v="2"/>
    <x v="1"/>
    <x v="0"/>
  </r>
  <r>
    <s v="HKN-31467-517"/>
    <x v="662"/>
    <s v="84045-66771-SL"/>
    <s v="L-M-1"/>
    <n v="6"/>
    <s v="Charlean Keave"/>
    <s v="ckeaver1@ucoz.com"/>
    <s v="United States"/>
    <s v="Lib"/>
    <s v="M"/>
    <x v="0"/>
    <n v="14.55"/>
    <n v="87.300000000000011"/>
    <x v="3"/>
    <x v="0"/>
    <x v="1"/>
  </r>
  <r>
    <s v="POF-29666-012"/>
    <x v="102"/>
    <s v="46885-00260-TL"/>
    <s v="R-D-0.5"/>
    <n v="1"/>
    <s v="Sada Roseborough"/>
    <s v="sroseboroughr2@virginia.edu"/>
    <s v="United States"/>
    <s v="Rob"/>
    <s v="D"/>
    <x v="1"/>
    <n v="5.3699999999999992"/>
    <n v="5.3699999999999992"/>
    <x v="0"/>
    <x v="2"/>
    <x v="0"/>
  </r>
  <r>
    <s v="IRX-59256-644"/>
    <x v="678"/>
    <s v="96446-62142-EN"/>
    <s v="A-D-0.2"/>
    <n v="3"/>
    <s v="Clayton Kingwell"/>
    <s v="ckingwellr3@squarespace.com"/>
    <s v="Ireland"/>
    <s v="Ara"/>
    <s v="D"/>
    <x v="3"/>
    <n v="2.9849999999999999"/>
    <n v="8.9550000000000001"/>
    <x v="2"/>
    <x v="2"/>
    <x v="0"/>
  </r>
  <r>
    <s v="LTN-89139-350"/>
    <x v="679"/>
    <s v="07756-71018-GU"/>
    <s v="R-L-2.5"/>
    <n v="5"/>
    <s v="Kacy Canto"/>
    <s v="kcantor4@gmpg.org"/>
    <s v="United States"/>
    <s v="Rob"/>
    <s v="L"/>
    <x v="2"/>
    <n v="27.484999999999996"/>
    <n v="137.42499999999998"/>
    <x v="0"/>
    <x v="1"/>
    <x v="0"/>
  </r>
  <r>
    <s v="TXF-79780-017"/>
    <x v="112"/>
    <s v="92048-47813-QB"/>
    <s v="R-L-1"/>
    <n v="5"/>
    <s v="Mab Blakemore"/>
    <s v="mblakemorer5@nsw.gov.au"/>
    <s v="United States"/>
    <s v="Rob"/>
    <s v="L"/>
    <x v="0"/>
    <n v="11.95"/>
    <n v="59.75"/>
    <x v="0"/>
    <x v="1"/>
    <x v="1"/>
  </r>
  <r>
    <s v="ALM-80762-974"/>
    <x v="55"/>
    <s v="84045-66771-SL"/>
    <s v="A-L-0.5"/>
    <n v="3"/>
    <s v="Charlean Keave"/>
    <s v="ckeaver1@ucoz.com"/>
    <s v="United States"/>
    <s v="Ara"/>
    <s v="L"/>
    <x v="1"/>
    <n v="7.77"/>
    <n v="23.31"/>
    <x v="2"/>
    <x v="1"/>
    <x v="1"/>
  </r>
  <r>
    <s v="NXF-15738-707"/>
    <x v="680"/>
    <s v="28699-16256-XV"/>
    <s v="R-D-0.5"/>
    <n v="2"/>
    <s v="Javier Causnett"/>
    <n v="0"/>
    <s v="United States"/>
    <s v="Rob"/>
    <s v="D"/>
    <x v="1"/>
    <n v="5.3699999999999992"/>
    <n v="10.739999999999998"/>
    <x v="0"/>
    <x v="2"/>
    <x v="1"/>
  </r>
  <r>
    <s v="MVV-19034-198"/>
    <x v="94"/>
    <s v="98476-63654-CG"/>
    <s v="E-D-2.5"/>
    <n v="6"/>
    <s v="Demetris Micheli"/>
    <n v="0"/>
    <s v="United States"/>
    <s v="Exc"/>
    <s v="D"/>
    <x v="2"/>
    <n v="27.945"/>
    <n v="167.67000000000002"/>
    <x v="1"/>
    <x v="2"/>
    <x v="0"/>
  </r>
  <r>
    <s v="KUX-19632-830"/>
    <x v="160"/>
    <s v="55409-07759-YG"/>
    <s v="E-D-0.2"/>
    <n v="6"/>
    <s v="Chloette Bernardot"/>
    <s v="cbernardotr9@wix.com"/>
    <s v="United States"/>
    <s v="Exc"/>
    <s v="D"/>
    <x v="3"/>
    <n v="3.645"/>
    <n v="21.87"/>
    <x v="1"/>
    <x v="2"/>
    <x v="0"/>
  </r>
  <r>
    <s v="SNZ-44595-152"/>
    <x v="681"/>
    <s v="06136-65250-PG"/>
    <s v="R-L-1"/>
    <n v="2"/>
    <s v="Kim Kemery"/>
    <s v="kkemeryra@t.co"/>
    <s v="United States"/>
    <s v="Rob"/>
    <s v="L"/>
    <x v="0"/>
    <n v="11.95"/>
    <n v="23.9"/>
    <x v="0"/>
    <x v="1"/>
    <x v="0"/>
  </r>
  <r>
    <s v="GQA-37241-629"/>
    <x v="502"/>
    <s v="08405-33165-BS"/>
    <s v="A-M-0.2"/>
    <n v="2"/>
    <s v="Fanchette Parlot"/>
    <s v="fparlotrb@forbes.com"/>
    <s v="United States"/>
    <s v="Ara"/>
    <s v="M"/>
    <x v="3"/>
    <n v="3.375"/>
    <n v="6.75"/>
    <x v="2"/>
    <x v="0"/>
    <x v="0"/>
  </r>
  <r>
    <s v="WVV-79948-067"/>
    <x v="682"/>
    <s v="66070-30559-WI"/>
    <s v="E-M-2.5"/>
    <n v="1"/>
    <s v="Ramon Cheak"/>
    <s v="rcheakrc@tripadvisor.com"/>
    <s v="Ireland"/>
    <s v="Exc"/>
    <s v="M"/>
    <x v="2"/>
    <n v="31.624999999999996"/>
    <n v="31.624999999999996"/>
    <x v="1"/>
    <x v="0"/>
    <x v="0"/>
  </r>
  <r>
    <s v="LHX-81117-166"/>
    <x v="683"/>
    <s v="01282-28364-RZ"/>
    <s v="R-L-1"/>
    <n v="4"/>
    <s v="Koressa O'Geneay"/>
    <s v="kogeneayrd@utexas.edu"/>
    <s v="United States"/>
    <s v="Rob"/>
    <s v="L"/>
    <x v="0"/>
    <n v="11.95"/>
    <n v="47.8"/>
    <x v="0"/>
    <x v="1"/>
    <x v="1"/>
  </r>
  <r>
    <s v="GCD-75444-320"/>
    <x v="594"/>
    <s v="51277-93873-RP"/>
    <s v="L-M-2.5"/>
    <n v="1"/>
    <s v="Claudell Ayre"/>
    <s v="cayrere@symantec.com"/>
    <s v="United States"/>
    <s v="Lib"/>
    <s v="M"/>
    <x v="2"/>
    <n v="33.464999999999996"/>
    <n v="33.464999999999996"/>
    <x v="3"/>
    <x v="0"/>
    <x v="1"/>
  </r>
  <r>
    <s v="SGA-30059-217"/>
    <x v="389"/>
    <s v="84405-83364-DG"/>
    <s v="A-D-0.5"/>
    <n v="5"/>
    <s v="Lorianne Kyneton"/>
    <s v="lkynetonrf@macromedia.com"/>
    <s v="United Kingdom"/>
    <s v="Ara"/>
    <s v="D"/>
    <x v="1"/>
    <n v="5.97"/>
    <n v="29.849999999999998"/>
    <x v="2"/>
    <x v="2"/>
    <x v="0"/>
  </r>
  <r>
    <s v="GNL-98714-885"/>
    <x v="583"/>
    <s v="83731-53280-YC"/>
    <s v="R-M-1"/>
    <n v="3"/>
    <s v="Adele McFayden"/>
    <n v="0"/>
    <s v="United Kingdom"/>
    <s v="Rob"/>
    <s v="M"/>
    <x v="0"/>
    <n v="9.9499999999999993"/>
    <n v="29.849999999999998"/>
    <x v="0"/>
    <x v="0"/>
    <x v="0"/>
  </r>
  <r>
    <s v="OQA-93249-841"/>
    <x v="647"/>
    <s v="03917-13632-KC"/>
    <s v="A-M-2.5"/>
    <n v="6"/>
    <s v="Herta Layne"/>
    <n v="0"/>
    <s v="United States"/>
    <s v="Ara"/>
    <s v="M"/>
    <x v="2"/>
    <n v="25.874999999999996"/>
    <n v="155.24999999999997"/>
    <x v="2"/>
    <x v="0"/>
    <x v="0"/>
  </r>
  <r>
    <s v="DUV-12075-132"/>
    <x v="366"/>
    <s v="62494-09113-RP"/>
    <s v="E-D-0.2"/>
    <n v="5"/>
    <s v="Marguerite Graves"/>
    <n v="0"/>
    <s v="United States"/>
    <s v="Exc"/>
    <s v="D"/>
    <x v="3"/>
    <n v="3.645"/>
    <n v="18.225000000000001"/>
    <x v="1"/>
    <x v="2"/>
    <x v="1"/>
  </r>
  <r>
    <s v="DUV-12075-132"/>
    <x v="366"/>
    <s v="62494-09113-RP"/>
    <s v="L-D-0.5"/>
    <n v="2"/>
    <s v="Marguerite Graves"/>
    <n v="0"/>
    <s v="United States"/>
    <s v="Lib"/>
    <s v="D"/>
    <x v="1"/>
    <n v="7.77"/>
    <n v="15.54"/>
    <x v="3"/>
    <x v="2"/>
    <x v="1"/>
  </r>
  <r>
    <s v="KPO-24942-184"/>
    <x v="684"/>
    <s v="70567-65133-CN"/>
    <s v="L-L-2.5"/>
    <n v="3"/>
    <s v="Desdemona Eye"/>
    <n v="0"/>
    <s v="Ireland"/>
    <s v="Lib"/>
    <s v="L"/>
    <x v="2"/>
    <n v="36.454999999999998"/>
    <n v="109.36499999999999"/>
    <x v="3"/>
    <x v="1"/>
    <x v="1"/>
  </r>
  <r>
    <s v="SRJ-79353-838"/>
    <x v="506"/>
    <s v="77869-81373-AY"/>
    <s v="A-L-1"/>
    <n v="6"/>
    <s v="Margarette Sterland"/>
    <n v="0"/>
    <s v="United States"/>
    <s v="Ara"/>
    <s v="L"/>
    <x v="0"/>
    <n v="12.95"/>
    <n v="77.699999999999989"/>
    <x v="2"/>
    <x v="1"/>
    <x v="1"/>
  </r>
  <r>
    <s v="XBV-40336-071"/>
    <x v="685"/>
    <s v="38536-98293-JZ"/>
    <s v="A-D-0.2"/>
    <n v="3"/>
    <s v="Catharine Scoines"/>
    <n v="0"/>
    <s v="Ireland"/>
    <s v="Ara"/>
    <s v="D"/>
    <x v="3"/>
    <n v="2.9849999999999999"/>
    <n v="8.9550000000000001"/>
    <x v="2"/>
    <x v="2"/>
    <x v="1"/>
  </r>
  <r>
    <s v="RLM-96511-467"/>
    <x v="191"/>
    <s v="43014-53743-XK"/>
    <s v="R-L-2.5"/>
    <n v="1"/>
    <s v="Jennica Tewelson"/>
    <s v="jtewelsonrn@samsung.com"/>
    <s v="United States"/>
    <s v="Rob"/>
    <s v="L"/>
    <x v="2"/>
    <n v="27.484999999999996"/>
    <n v="27.484999999999996"/>
    <x v="0"/>
    <x v="1"/>
    <x v="1"/>
  </r>
  <r>
    <s v="AEZ-13242-456"/>
    <x v="686"/>
    <s v="62494-09113-RP"/>
    <s v="R-M-0.5"/>
    <n v="5"/>
    <s v="Marguerite Graves"/>
    <n v="0"/>
    <s v="United States"/>
    <s v="Rob"/>
    <s v="M"/>
    <x v="1"/>
    <n v="5.97"/>
    <n v="29.849999999999998"/>
    <x v="0"/>
    <x v="0"/>
    <x v="1"/>
  </r>
  <r>
    <s v="UME-75640-698"/>
    <x v="687"/>
    <s v="62494-09113-RP"/>
    <s v="A-M-0.5"/>
    <n v="4"/>
    <s v="Marguerite Graves"/>
    <n v="0"/>
    <s v="United States"/>
    <s v="Ara"/>
    <s v="M"/>
    <x v="1"/>
    <n v="6.75"/>
    <n v="27"/>
    <x v="2"/>
    <x v="0"/>
    <x v="1"/>
  </r>
  <r>
    <s v="GJC-66474-557"/>
    <x v="629"/>
    <s v="64965-78386-MY"/>
    <s v="A-D-1"/>
    <n v="1"/>
    <s v="Nicolina Jenny"/>
    <s v="njennyrq@bigcartel.com"/>
    <s v="United States"/>
    <s v="Ara"/>
    <s v="D"/>
    <x v="0"/>
    <n v="9.9499999999999993"/>
    <n v="9.9499999999999993"/>
    <x v="2"/>
    <x v="2"/>
    <x v="1"/>
  </r>
  <r>
    <s v="IRV-20769-219"/>
    <x v="688"/>
    <s v="77131-58092-GE"/>
    <s v="E-M-0.2"/>
    <n v="3"/>
    <s v="Vidovic Antonelli"/>
    <n v="0"/>
    <s v="United Kingdom"/>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CB745-30C9-4865-81B2-F1A89B33F523}"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11"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h="1" x="1"/>
        <item h="1" x="0"/>
        <item h="1" x="2"/>
      </items>
    </pivotField>
    <pivotField compact="0" outline="0" showAll="0" defaultSubtotal="0"/>
    <pivotField dataField="1" compact="0" outline="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m="1"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7">
    <i>
      <x v="4"/>
      <x v="2"/>
    </i>
    <i r="1">
      <x v="3"/>
    </i>
    <i r="1">
      <x v="4"/>
    </i>
    <i r="1">
      <x v="5"/>
    </i>
    <i r="1">
      <x v="6"/>
    </i>
    <i r="1">
      <x v="7"/>
    </i>
    <i r="1">
      <x v="8"/>
    </i>
  </rowItems>
  <colFields count="1">
    <field x="13"/>
  </colFields>
  <colItems count="4">
    <i>
      <x/>
    </i>
    <i>
      <x v="1"/>
    </i>
    <i>
      <x v="2"/>
    </i>
    <i>
      <x v="3"/>
    </i>
  </colItems>
  <dataFields count="1">
    <dataField name="Sum of Sales" fld="12" baseField="15" baseItem="1" numFmtId="1"/>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4" format="5">
      <pivotArea type="data" outline="0" fieldPosition="0">
        <references count="4">
          <reference field="4294967294" count="1" selected="0">
            <x v="0"/>
          </reference>
          <reference field="13" count="1" selected="0">
            <x v="3"/>
          </reference>
          <reference field="16" count="1" selected="0">
            <x v="4"/>
          </reference>
          <reference field="17" count="1" selected="0">
            <x v="4"/>
          </reference>
        </references>
      </pivotArea>
    </chartFormat>
  </chartFormats>
  <pivotTableStyleInfo name="PivotStyleMedium9" showRowHeaders="1" showColHeaders="1" showRowStripes="0" showColStripes="0" showLastColumn="1"/>
  <filters count="1">
    <filter fld="1" type="dateBetween" evalOrder="-1" id="21" name="Order Date">
      <autoFilter ref="A1">
        <filterColumn colId="0">
          <customFilters and="1">
            <customFilter operator="greaterThanOrEqual" val="44593"/>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21B3730-1F75-45DB-80F7-59E964560017}" sourceName="Size">
  <pivotTables>
    <pivotTable tabId="18" name="Total Sales"/>
  </pivotTables>
  <data>
    <tabular pivotCacheId="1139846391">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CF546DF-6B50-49B4-A9A8-121249B0D60A}" sourceName="Roast Type Name">
  <pivotTables>
    <pivotTable tabId="18" name="Total Sales"/>
  </pivotTables>
  <data>
    <tabular pivotCacheId="11398463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FF132C4-2436-4976-B25A-2C63F96EC36D}" sourceName="Loyalty Card">
  <pivotTables>
    <pivotTable tabId="18" name="Total Sales"/>
  </pivotTables>
  <data>
    <tabular pivotCacheId="1139846391">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49C7344-E18B-4E77-B897-6877CC751E51}" cache="Slicer_Size" caption="Size" rowHeight="234950"/>
  <slicer name="Roast Type Name" xr10:uid="{21B7FB6E-E95D-455C-BF83-6BCDD4F3B410}" cache="Slicer_Roast_Type_Name" caption="Roast Type Name" rowHeight="234950"/>
  <slicer name="Loyalty Card" xr10:uid="{66A3FCB0-A77D-4B73-B538-A6A7C23E8D35}"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69B356-DC91-4E3B-B122-930D148D79BF}" name="Orders" displayName="Orders" ref="A1:P1001" totalsRowShown="0" headerRowDxfId="13">
  <autoFilter ref="A1:P1001" xr:uid="{AD69B356-DC91-4E3B-B122-930D148D79BF}"/>
  <tableColumns count="16">
    <tableColumn id="1" xr3:uid="{4D3FB161-FA3B-4AEA-83A8-8CD462E1C1C0}" name="Order ID" dataDxfId="12"/>
    <tableColumn id="2" xr3:uid="{72BC7CCA-4DE2-42D1-9800-59D30F917DA6}" name="Order Date" dataDxfId="11"/>
    <tableColumn id="3" xr3:uid="{CB6823B3-426A-4E73-8A7D-522AD78EED6C}" name="Customer ID" dataDxfId="10"/>
    <tableColumn id="4" xr3:uid="{9EA02D4B-A2F3-4BE0-8AFC-323A287CDFB5}" name="Product ID"/>
    <tableColumn id="5" xr3:uid="{F9A063D4-BCEC-42EB-B692-9F069860B695}" name="Quantity" dataDxfId="9"/>
    <tableColumn id="6" xr3:uid="{891AB415-401F-4816-B508-8423DDE20089}" name="Customer Name" dataDxfId="8">
      <calculatedColumnFormula>_xlfn.XLOOKUP(C2,customers!$A$2:$A$1001,customers!$B$2:$B$1001,0)</calculatedColumnFormula>
    </tableColumn>
    <tableColumn id="7" xr3:uid="{FA1FF3E7-EF26-411B-9C1E-7DF2AC95DC4C}" name="Email" dataDxfId="7">
      <calculatedColumnFormula>_xlfn.XLOOKUP(C2,customers!$A$2:$A$1001,customers!$C$2:$C$1001,0)</calculatedColumnFormula>
    </tableColumn>
    <tableColumn id="8" xr3:uid="{54CB87B8-043C-424A-A635-9C388CDE2258}" name="Country" dataDxfId="6">
      <calculatedColumnFormula>_xlfn.XLOOKUP(orders!C2,customers!$A$2:$A$1001,customers!$G$2:$G$1001,0)</calculatedColumnFormula>
    </tableColumn>
    <tableColumn id="9" xr3:uid="{BEFBA86F-8D75-4363-946A-1E89DF3E847B}" name="Coffee Type">
      <calculatedColumnFormula>INDEX(products!$A$1:$G$49,MATCH(orders!$D2,products!$A$1:$A$49,0),MATCH($I$1,products!$A$1:$G$1,0))</calculatedColumnFormula>
    </tableColumn>
    <tableColumn id="10" xr3:uid="{547B4D08-D0DA-4C38-ABF2-C4C31626963E}" name="Roast Type">
      <calculatedColumnFormula>INDEX(products!$A$1:$G$49,MATCH(orders!$D2,products!$A$1:$A$49,0),MATCH($J$1,products!$A$1:$G$1,0))</calculatedColumnFormula>
    </tableColumn>
    <tableColumn id="11" xr3:uid="{B48A741B-7D20-4A65-A9F3-D6AD768C0651}" name="Size" dataDxfId="5">
      <calculatedColumnFormula>INDEX(products!$A$1:$G$49,MATCH(orders!$D2,products!$A$1:$A$49,0),MATCH($K$1,products!$A$1:$G$1,0))</calculatedColumnFormula>
    </tableColumn>
    <tableColumn id="12" xr3:uid="{EE560D7D-2F68-4876-9155-5194AA8F07D6}" name="Unit Price">
      <calculatedColumnFormula>INDEX(products!$A$1:$G$49,MATCH(orders!$D2,products!$A$1:$A$49,0),MATCH($L$1,products!$A$1:$G$1,0))</calculatedColumnFormula>
    </tableColumn>
    <tableColumn id="13" xr3:uid="{8AA2A0C8-93B6-44A9-AB84-F0EB46057963}" name="Sales">
      <calculatedColumnFormula>L2*E2</calculatedColumnFormula>
    </tableColumn>
    <tableColumn id="14" xr3:uid="{E7E2EE9B-1562-4D0F-AC93-D717FB5683B6}" name="Coffee Type Name">
      <calculatedColumnFormula>IF(I2="Rob","Robusta",IF(I2="Exc","Excelsa",IF(I2="Ara","Arabica",IF(I2="Lib","Liberica",""))))</calculatedColumnFormula>
    </tableColumn>
    <tableColumn id="15" xr3:uid="{A3B72F12-7A9A-46EF-AFF2-901CE2D20299}" name="Roast Type Name">
      <calculatedColumnFormula>IF(J2="M", "Medium", IF(J2="L","Light", IF(J2="D", "Dark","")))</calculatedColumnFormula>
    </tableColumn>
    <tableColumn id="16" xr3:uid="{1F359219-2AE7-41CF-B459-6887F483FAE0}" name="Loyalty Card" dataDxfId="2">
      <calculatedColumnFormula>_xlfn.XLOOKUP(Orders[[#This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9FAE38-FA77-44EC-916E-8C5752FA91D1}" sourceName="Order Date">
  <pivotTables>
    <pivotTable tabId="18" name="Total Sales"/>
  </pivotTables>
  <state minimalRefreshVersion="6" lastRefreshVersion="6" pivotCacheId="1139846391" filterType="dateBetween">
    <selection startDate="2022-02-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C09A1EB-27FE-4B8D-9349-A822F1EE11B6}" cache="NativeTimeline_Order_Date" caption="Order Date" level="2" selectionLevel="2" scrollPosition="2021-12-17T00:00:00" style="Purple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A952-64D5-44DC-B504-37FF7FDEE71B}">
  <dimension ref="A3:K24"/>
  <sheetViews>
    <sheetView tabSelected="1" topLeftCell="C1" workbookViewId="0">
      <selection activeCell="C3" sqref="C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6196</v>
      </c>
      <c r="C3" s="6" t="s">
        <v>6208</v>
      </c>
    </row>
    <row r="4" spans="1:6" x14ac:dyDescent="0.3">
      <c r="A4" s="6" t="s">
        <v>6205</v>
      </c>
      <c r="B4" s="6" t="s">
        <v>6206</v>
      </c>
      <c r="C4" t="s">
        <v>6209</v>
      </c>
      <c r="D4" t="s">
        <v>6210</v>
      </c>
      <c r="E4" t="s">
        <v>6211</v>
      </c>
      <c r="F4" t="s">
        <v>6212</v>
      </c>
    </row>
    <row r="5" spans="1:6" x14ac:dyDescent="0.3">
      <c r="A5" t="s">
        <v>6197</v>
      </c>
      <c r="B5" t="s">
        <v>6198</v>
      </c>
      <c r="C5" s="7">
        <v>11.94</v>
      </c>
      <c r="D5" s="7">
        <v>4.125</v>
      </c>
      <c r="E5" s="7">
        <v>54.720000000000006</v>
      </c>
      <c r="F5" s="7">
        <v>17.91</v>
      </c>
    </row>
    <row r="6" spans="1:6" x14ac:dyDescent="0.3">
      <c r="B6" t="s">
        <v>6199</v>
      </c>
      <c r="C6" s="7">
        <v>44.984999999999999</v>
      </c>
      <c r="D6" s="7">
        <v>3.645</v>
      </c>
      <c r="E6" s="7">
        <v>13.875</v>
      </c>
      <c r="F6" s="7">
        <v>16.724999999999998</v>
      </c>
    </row>
    <row r="7" spans="1:6" x14ac:dyDescent="0.3">
      <c r="B7" t="s">
        <v>6200</v>
      </c>
      <c r="C7" s="7">
        <v>10.754999999999999</v>
      </c>
      <c r="D7" s="7">
        <v>26.73</v>
      </c>
      <c r="E7" s="7">
        <v>19.424999999999997</v>
      </c>
      <c r="F7" s="7"/>
    </row>
    <row r="8" spans="1:6" x14ac:dyDescent="0.3">
      <c r="B8" t="s">
        <v>6201</v>
      </c>
      <c r="C8" s="7"/>
      <c r="D8" s="7">
        <v>11.745000000000001</v>
      </c>
      <c r="E8" s="7">
        <v>4.7549999999999999</v>
      </c>
      <c r="F8" s="7">
        <v>50.189999999999991</v>
      </c>
    </row>
    <row r="9" spans="1:6" x14ac:dyDescent="0.3">
      <c r="B9" t="s">
        <v>6202</v>
      </c>
      <c r="C9" s="7">
        <v>17.91</v>
      </c>
      <c r="D9" s="7">
        <v>66.825000000000003</v>
      </c>
      <c r="E9" s="7"/>
      <c r="F9" s="7"/>
    </row>
    <row r="10" spans="1:6" x14ac:dyDescent="0.3">
      <c r="B10" t="s">
        <v>6203</v>
      </c>
      <c r="C10" s="7"/>
      <c r="D10" s="7">
        <v>29.16</v>
      </c>
      <c r="E10" s="7">
        <v>13.095000000000001</v>
      </c>
      <c r="F10" s="7">
        <v>26.279999999999998</v>
      </c>
    </row>
    <row r="11" spans="1:6" x14ac:dyDescent="0.3">
      <c r="B11" t="s">
        <v>6204</v>
      </c>
      <c r="C11" s="7"/>
      <c r="D11" s="7"/>
      <c r="E11" s="7"/>
      <c r="F11" s="7">
        <v>25.68</v>
      </c>
    </row>
    <row r="24" spans="11:11" x14ac:dyDescent="0.3">
      <c r="K24" s="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3" sqref="P3"/>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22.5546875" customWidth="1"/>
    <col min="8" max="8" width="15.44140625" customWidth="1"/>
    <col min="9" max="9" width="12.6640625" customWidth="1"/>
    <col min="10" max="10" width="11.6640625" customWidth="1"/>
    <col min="11" max="11" width="5.77734375" style="1" customWidth="1"/>
    <col min="12" max="12" width="10.77734375" customWidth="1"/>
    <col min="13" max="13" width="6.77734375" customWidth="1"/>
    <col min="14" max="14" width="13.6640625" customWidth="1"/>
    <col min="15" max="15" width="12.77734375" customWidth="1"/>
  </cols>
  <sheetData>
    <row r="1" spans="1:16" x14ac:dyDescent="0.3">
      <c r="A1" s="2" t="s">
        <v>0</v>
      </c>
      <c r="B1" s="3" t="s">
        <v>1</v>
      </c>
      <c r="C1" s="2" t="s">
        <v>3</v>
      </c>
      <c r="D1" s="2" t="s">
        <v>11</v>
      </c>
      <c r="E1" s="2" t="s">
        <v>14</v>
      </c>
      <c r="F1" s="2" t="s">
        <v>4</v>
      </c>
      <c r="G1" s="2" t="s">
        <v>2</v>
      </c>
      <c r="H1" s="2" t="s">
        <v>7</v>
      </c>
      <c r="I1" s="2" t="s">
        <v>9</v>
      </c>
      <c r="J1" s="2" t="s">
        <v>10</v>
      </c>
      <c r="K1" s="5" t="s">
        <v>12</v>
      </c>
      <c r="L1" s="2" t="s">
        <v>13</v>
      </c>
      <c r="M1" s="2" t="s">
        <v>15</v>
      </c>
      <c r="N1" s="2" t="s">
        <v>6208</v>
      </c>
      <c r="O1" s="2" t="s">
        <v>6207</v>
      </c>
      <c r="P1" s="2" t="s">
        <v>6189</v>
      </c>
    </row>
    <row r="2" spans="1:16" x14ac:dyDescent="0.3">
      <c r="A2" s="2" t="s">
        <v>490</v>
      </c>
      <c r="B2" s="3">
        <v>43713</v>
      </c>
      <c r="C2" s="2" t="s">
        <v>491</v>
      </c>
      <c r="D2" t="s">
        <v>6138</v>
      </c>
      <c r="E2" s="2">
        <v>2</v>
      </c>
      <c r="F2" s="2" t="str">
        <f>_xlfn.XLOOKUP(C2,customers!$A$2:$A$1001,customers!$B$2:$B$1001,0)</f>
        <v>Aloisia Allner</v>
      </c>
      <c r="G2" s="2" t="str">
        <f>_xlfn.XLOOKUP(C2,customers!$A$2:$A$1001,customers!$C$2:$C$1001,0)</f>
        <v>aallner0@lulu.com</v>
      </c>
      <c r="H2" s="2" t="str">
        <f>_xlfn.XLOOKUP(orders!C2,customers!$A$2:$A$1001,customers!$G$2:$G$1001,0)</f>
        <v>United States</v>
      </c>
      <c r="I2" t="str">
        <f>INDEX(products!$A$1:$G$49,MATCH(orders!$D2,products!$A$1:$A$49,0),MATCH($I$1,products!$A$1:$G$1,0))</f>
        <v>Rob</v>
      </c>
      <c r="J2" t="str">
        <f>INDEX(products!$A$1:$G$49,MATCH(orders!$D2,products!$A$1:$A$49,0),MATCH($J$1,products!$A$1:$G$1,0))</f>
        <v>M</v>
      </c>
      <c r="K2" s="1">
        <f>INDEX(products!$A$1:$G$49,MATCH(orders!$D2,products!$A$1:$A$49,0),MATCH($K$1,products!$A$1:$G$1,0))</f>
        <v>1</v>
      </c>
      <c r="L2">
        <f>INDEX(products!$A$1:$G$49,MATCH(orders!$D2,products!$A$1:$A$49,0),MATCH($L$1,products!$A$1:$G$1,0))</f>
        <v>9.9499999999999993</v>
      </c>
      <c r="M2">
        <f>L2*E2</f>
        <v>19.899999999999999</v>
      </c>
      <c r="N2" t="str">
        <f t="shared" ref="N2:N33" si="0">IF(I2="Rob","Robusta",IF(I2="Exc","Excelsa",IF(I2="Ara","Arabica",IF(I2="Lib","Liberica",""))))</f>
        <v>Robusta</v>
      </c>
      <c r="O2" t="str">
        <f>IF(J2="M", "Medium", IF(J2="L","Light", IF(J2="D", "Dark","")))</f>
        <v>Medium</v>
      </c>
      <c r="P2" t="str">
        <f>_xlfn.XLOOKUP(Orders[[#This Row],[Customer ID]],customers!$A$1:$A$1001,customers!$I$1:$I$1001,0)</f>
        <v>Yes</v>
      </c>
    </row>
    <row r="3" spans="1:16" x14ac:dyDescent="0.3">
      <c r="A3" s="2" t="s">
        <v>490</v>
      </c>
      <c r="B3" s="3">
        <v>43713</v>
      </c>
      <c r="C3" s="2" t="s">
        <v>491</v>
      </c>
      <c r="D3" t="s">
        <v>6139</v>
      </c>
      <c r="E3" s="2">
        <v>5</v>
      </c>
      <c r="F3" s="2" t="str">
        <f>_xlfn.XLOOKUP(C3,customers!$A$2:$A$1001,customers!$B$2:$B$1001,0)</f>
        <v>Aloisia Allner</v>
      </c>
      <c r="G3" s="2" t="str">
        <f>_xlfn.XLOOKUP(C3,customers!$A$2:$A$1001,customers!$C$2:$C$1001,0)</f>
        <v>aallner0@lulu.com</v>
      </c>
      <c r="H3" s="2" t="str">
        <f>_xlfn.XLOOKUP(orders!C3,customers!$A$2:$A$1001,customers!$G$2:$G$1001,0)</f>
        <v>United States</v>
      </c>
      <c r="I3" t="str">
        <f>INDEX(products!$A$1:$G$49,MATCH(orders!$D3,products!$A$1:$A$49,0),MATCH($I$1,products!$A$1:$G$1,0))</f>
        <v>Exc</v>
      </c>
      <c r="J3" t="str">
        <f>INDEX(products!$A$1:$G$49,MATCH(orders!$D3,products!$A$1:$A$49,0),MATCH($J$1,products!$A$1:$G$1,0))</f>
        <v>M</v>
      </c>
      <c r="K3" s="1">
        <f>INDEX(products!$A$1:$G$49,MATCH(orders!$D3,products!$A$1:$A$49,0),MATCH($K$1,products!$A$1:$G$1,0))</f>
        <v>0.5</v>
      </c>
      <c r="L3">
        <f>INDEX(products!$A$1:$G$49,MATCH(orders!$D3,products!$A$1:$A$49,0),MATCH($L$1,products!$A$1:$G$1,0))</f>
        <v>8.25</v>
      </c>
      <c r="M3">
        <f t="shared" ref="M3:M66" si="1">L3*E3</f>
        <v>41.25</v>
      </c>
      <c r="N3" t="str">
        <f t="shared" si="0"/>
        <v>Excelsa</v>
      </c>
      <c r="O3" t="str">
        <f t="shared" ref="O3:O66" si="2">IF(J3="M", "Medium", IF(J3="L","Light", IF(J3="D", "Dark","")))</f>
        <v>Medium</v>
      </c>
      <c r="P3" t="str">
        <f>_xlfn.XLOOKUP(Orders[[#This Row],[Customer ID]],customers!$A$1:$A$1001,customers!$I$1:$I$1001,0)</f>
        <v>Yes</v>
      </c>
    </row>
    <row r="4" spans="1:16" x14ac:dyDescent="0.3">
      <c r="A4" s="2" t="s">
        <v>501</v>
      </c>
      <c r="B4" s="3">
        <v>44364</v>
      </c>
      <c r="C4" s="2" t="s">
        <v>502</v>
      </c>
      <c r="D4" t="s">
        <v>6140</v>
      </c>
      <c r="E4" s="2">
        <v>1</v>
      </c>
      <c r="F4" s="2" t="str">
        <f>_xlfn.XLOOKUP(C4,customers!$A$2:$A$1001,customers!$B$2:$B$1001,0)</f>
        <v>Jami Redholes</v>
      </c>
      <c r="G4" s="2" t="str">
        <f>_xlfn.XLOOKUP(C4,customers!$A$2:$A$1001,customers!$C$2:$C$1001,0)</f>
        <v>jredholes2@tmall.com</v>
      </c>
      <c r="H4" s="2" t="str">
        <f>_xlfn.XLOOKUP(orders!C4,customers!$A$2:$A$1001,customers!$G$2:$G$1001,0)</f>
        <v>United States</v>
      </c>
      <c r="I4" t="str">
        <f>INDEX(products!$A$1:$G$49,MATCH(orders!$D4,products!$A$1:$A$49,0),MATCH($I$1,products!$A$1:$G$1,0))</f>
        <v>Ara</v>
      </c>
      <c r="J4" t="str">
        <f>INDEX(products!$A$1:$G$49,MATCH(orders!$D4,products!$A$1:$A$49,0),MATCH($J$1,products!$A$1:$G$1,0))</f>
        <v>L</v>
      </c>
      <c r="K4" s="1">
        <f>INDEX(products!$A$1:$G$49,MATCH(orders!$D4,products!$A$1:$A$49,0),MATCH($K$1,products!$A$1:$G$1,0))</f>
        <v>1</v>
      </c>
      <c r="L4">
        <f>INDEX(products!$A$1:$G$49,MATCH(orders!$D4,products!$A$1:$A$49,0),MATCH($L$1,products!$A$1:$G$1,0))</f>
        <v>12.95</v>
      </c>
      <c r="M4">
        <f t="shared" si="1"/>
        <v>12.95</v>
      </c>
      <c r="N4" t="str">
        <f t="shared" si="0"/>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_xlfn.XLOOKUP(C5,customers!$A$2:$A$1001,customers!$B$2:$B$1001,0)</f>
        <v>Christoffer O' Shea</v>
      </c>
      <c r="G5" s="2">
        <f>_xlfn.XLOOKUP(C5,customers!$A$2:$A$1001,customers!$C$2:$C$1001,0)</f>
        <v>0</v>
      </c>
      <c r="H5" s="2" t="str">
        <f>_xlfn.XLOOKUP(orders!C5,customers!$A$2:$A$1001,customers!$G$2:$G$1001,0)</f>
        <v>Ireland</v>
      </c>
      <c r="I5" t="str">
        <f>INDEX(products!$A$1:$G$49,MATCH(orders!$D5,products!$A$1:$A$49,0),MATCH($I$1,products!$A$1:$G$1,0))</f>
        <v>Exc</v>
      </c>
      <c r="J5" t="str">
        <f>INDEX(products!$A$1:$G$49,MATCH(orders!$D5,products!$A$1:$A$49,0),MATCH($J$1,products!$A$1:$G$1,0))</f>
        <v>M</v>
      </c>
      <c r="K5" s="1">
        <f>INDEX(products!$A$1:$G$49,MATCH(orders!$D5,products!$A$1:$A$49,0),MATCH($K$1,products!$A$1:$G$1,0))</f>
        <v>1</v>
      </c>
      <c r="L5">
        <f>INDEX(products!$A$1:$G$49,MATCH(orders!$D5,products!$A$1:$A$49,0),MATCH($L$1,products!$A$1:$G$1,0))</f>
        <v>13.75</v>
      </c>
      <c r="M5">
        <f t="shared" si="1"/>
        <v>27.5</v>
      </c>
      <c r="N5" t="str">
        <f t="shared" si="0"/>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_xlfn.XLOOKUP(C6,customers!$A$2:$A$1001,customers!$B$2:$B$1001,0)</f>
        <v>Christoffer O' Shea</v>
      </c>
      <c r="G6" s="2">
        <f>_xlfn.XLOOKUP(C6,customers!$A$2:$A$1001,customers!$C$2:$C$1001,0)</f>
        <v>0</v>
      </c>
      <c r="H6" s="2" t="str">
        <f>_xlfn.XLOOKUP(orders!C6,customers!$A$2:$A$1001,customers!$G$2:$G$1001,0)</f>
        <v>Ireland</v>
      </c>
      <c r="I6" t="str">
        <f>INDEX(products!$A$1:$G$49,MATCH(orders!$D6,products!$A$1:$A$49,0),MATCH($I$1,products!$A$1:$G$1,0))</f>
        <v>Rob</v>
      </c>
      <c r="J6" t="str">
        <f>INDEX(products!$A$1:$G$49,MATCH(orders!$D6,products!$A$1:$A$49,0),MATCH($J$1,products!$A$1:$G$1,0))</f>
        <v>L</v>
      </c>
      <c r="K6" s="1">
        <f>INDEX(products!$A$1:$G$49,MATCH(orders!$D6,products!$A$1:$A$49,0),MATCH($K$1,products!$A$1:$G$1,0))</f>
        <v>2.5</v>
      </c>
      <c r="L6">
        <f>INDEX(products!$A$1:$G$49,MATCH(orders!$D6,products!$A$1:$A$49,0),MATCH($L$1,products!$A$1:$G$1,0))</f>
        <v>27.484999999999996</v>
      </c>
      <c r="M6">
        <f t="shared" si="1"/>
        <v>54.969999999999992</v>
      </c>
      <c r="N6" t="str">
        <f t="shared" si="0"/>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_xlfn.XLOOKUP(C7,customers!$A$2:$A$1001,customers!$B$2:$B$1001,0)</f>
        <v>Beryle Cottier</v>
      </c>
      <c r="G7" s="2">
        <f>_xlfn.XLOOKUP(C7,customers!$A$2:$A$1001,customers!$C$2:$C$1001,0)</f>
        <v>0</v>
      </c>
      <c r="H7" s="2" t="str">
        <f>_xlfn.XLOOKUP(orders!C7,customers!$A$2:$A$1001,customers!$G$2:$G$1001,0)</f>
        <v>United States</v>
      </c>
      <c r="I7" t="str">
        <f>INDEX(products!$A$1:$G$49,MATCH(orders!$D7,products!$A$1:$A$49,0),MATCH($I$1,products!$A$1:$G$1,0))</f>
        <v>Lib</v>
      </c>
      <c r="J7" t="str">
        <f>INDEX(products!$A$1:$G$49,MATCH(orders!$D7,products!$A$1:$A$49,0),MATCH($J$1,products!$A$1:$G$1,0))</f>
        <v>D</v>
      </c>
      <c r="K7" s="1">
        <f>INDEX(products!$A$1:$G$49,MATCH(orders!$D7,products!$A$1:$A$49,0),MATCH($K$1,products!$A$1:$G$1,0))</f>
        <v>1</v>
      </c>
      <c r="L7">
        <f>INDEX(products!$A$1:$G$49,MATCH(orders!$D7,products!$A$1:$A$49,0),MATCH($L$1,products!$A$1:$G$1,0))</f>
        <v>12.95</v>
      </c>
      <c r="M7">
        <f t="shared" si="1"/>
        <v>38.849999999999994</v>
      </c>
      <c r="N7" t="str">
        <f t="shared" si="0"/>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_xlfn.XLOOKUP(C8,customers!$A$2:$A$1001,customers!$B$2:$B$1001,0)</f>
        <v>Shaylynn Lobe</v>
      </c>
      <c r="G8" s="2" t="str">
        <f>_xlfn.XLOOKUP(C8,customers!$A$2:$A$1001,customers!$C$2:$C$1001,0)</f>
        <v>slobe6@nifty.com</v>
      </c>
      <c r="H8" s="2" t="str">
        <f>_xlfn.XLOOKUP(orders!C8,customers!$A$2:$A$1001,customers!$G$2:$G$1001,0)</f>
        <v>United States</v>
      </c>
      <c r="I8" t="str">
        <f>INDEX(products!$A$1:$G$49,MATCH(orders!$D8,products!$A$1:$A$49,0),MATCH($I$1,products!$A$1:$G$1,0))</f>
        <v>Exc</v>
      </c>
      <c r="J8" t="str">
        <f>INDEX(products!$A$1:$G$49,MATCH(orders!$D8,products!$A$1:$A$49,0),MATCH($J$1,products!$A$1:$G$1,0))</f>
        <v>D</v>
      </c>
      <c r="K8" s="1">
        <f>INDEX(products!$A$1:$G$49,MATCH(orders!$D8,products!$A$1:$A$49,0),MATCH($K$1,products!$A$1:$G$1,0))</f>
        <v>0.5</v>
      </c>
      <c r="L8">
        <f>INDEX(products!$A$1:$G$49,MATCH(orders!$D8,products!$A$1:$A$49,0),MATCH($L$1,products!$A$1:$G$1,0))</f>
        <v>7.29</v>
      </c>
      <c r="M8">
        <f t="shared" si="1"/>
        <v>21.87</v>
      </c>
      <c r="N8" t="str">
        <f t="shared" si="0"/>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_xlfn.XLOOKUP(C9,customers!$A$2:$A$1001,customers!$B$2:$B$1001,0)</f>
        <v>Melvin Wharfe</v>
      </c>
      <c r="G9" s="2">
        <f>_xlfn.XLOOKUP(C9,customers!$A$2:$A$1001,customers!$C$2:$C$1001,0)</f>
        <v>0</v>
      </c>
      <c r="H9" s="2" t="str">
        <f>_xlfn.XLOOKUP(orders!C9,customers!$A$2:$A$1001,customers!$G$2:$G$1001,0)</f>
        <v>Ireland</v>
      </c>
      <c r="I9" t="str">
        <f>INDEX(products!$A$1:$G$49,MATCH(orders!$D9,products!$A$1:$A$49,0),MATCH($I$1,products!$A$1:$G$1,0))</f>
        <v>Lib</v>
      </c>
      <c r="J9" t="str">
        <f>INDEX(products!$A$1:$G$49,MATCH(orders!$D9,products!$A$1:$A$49,0),MATCH($J$1,products!$A$1:$G$1,0))</f>
        <v>L</v>
      </c>
      <c r="K9" s="1">
        <f>INDEX(products!$A$1:$G$49,MATCH(orders!$D9,products!$A$1:$A$49,0),MATCH($K$1,products!$A$1:$G$1,0))</f>
        <v>0.2</v>
      </c>
      <c r="L9">
        <f>INDEX(products!$A$1:$G$49,MATCH(orders!$D9,products!$A$1:$A$49,0),MATCH($L$1,products!$A$1:$G$1,0))</f>
        <v>4.7549999999999999</v>
      </c>
      <c r="M9">
        <f t="shared" si="1"/>
        <v>4.7549999999999999</v>
      </c>
      <c r="N9" t="str">
        <f t="shared" si="0"/>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_xlfn.XLOOKUP(C10,customers!$A$2:$A$1001,customers!$B$2:$B$1001,0)</f>
        <v>Guthrey Petracci</v>
      </c>
      <c r="G10" s="2" t="str">
        <f>_xlfn.XLOOKUP(C10,customers!$A$2:$A$1001,customers!$C$2:$C$1001,0)</f>
        <v>gpetracci8@livejournal.com</v>
      </c>
      <c r="H10" s="2" t="str">
        <f>_xlfn.XLOOKUP(orders!C10,customers!$A$2:$A$1001,customers!$G$2:$G$1001,0)</f>
        <v>United States</v>
      </c>
      <c r="I10" t="str">
        <f>INDEX(products!$A$1:$G$49,MATCH(orders!$D10,products!$A$1:$A$49,0),MATCH($I$1,products!$A$1:$G$1,0))</f>
        <v>Rob</v>
      </c>
      <c r="J10" t="str">
        <f>INDEX(products!$A$1:$G$49,MATCH(orders!$D10,products!$A$1:$A$49,0),MATCH($J$1,products!$A$1:$G$1,0))</f>
        <v>M</v>
      </c>
      <c r="K10" s="1">
        <f>INDEX(products!$A$1:$G$49,MATCH(orders!$D10,products!$A$1:$A$49,0),MATCH($K$1,products!$A$1:$G$1,0))</f>
        <v>0.5</v>
      </c>
      <c r="L10">
        <f>INDEX(products!$A$1:$G$49,MATCH(orders!$D10,products!$A$1:$A$49,0),MATCH($L$1,products!$A$1:$G$1,0))</f>
        <v>5.97</v>
      </c>
      <c r="M10">
        <f t="shared" si="1"/>
        <v>17.91</v>
      </c>
      <c r="N10" t="str">
        <f t="shared" si="0"/>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_xlfn.XLOOKUP(C11,customers!$A$2:$A$1001,customers!$B$2:$B$1001,0)</f>
        <v>Rodger Raven</v>
      </c>
      <c r="G11" s="2" t="str">
        <f>_xlfn.XLOOKUP(C11,customers!$A$2:$A$1001,customers!$C$2:$C$1001,0)</f>
        <v>rraven9@ed.gov</v>
      </c>
      <c r="H11" s="2" t="str">
        <f>_xlfn.XLOOKUP(orders!C11,customers!$A$2:$A$1001,customers!$G$2:$G$1001,0)</f>
        <v>United States</v>
      </c>
      <c r="I11" t="str">
        <f>INDEX(products!$A$1:$G$49,MATCH(orders!$D11,products!$A$1:$A$49,0),MATCH($I$1,products!$A$1:$G$1,0))</f>
        <v>Rob</v>
      </c>
      <c r="J11" t="str">
        <f>INDEX(products!$A$1:$G$49,MATCH(orders!$D11,products!$A$1:$A$49,0),MATCH($J$1,products!$A$1:$G$1,0))</f>
        <v>M</v>
      </c>
      <c r="K11" s="1">
        <f>INDEX(products!$A$1:$G$49,MATCH(orders!$D11,products!$A$1:$A$49,0),MATCH($K$1,products!$A$1:$G$1,0))</f>
        <v>0.5</v>
      </c>
      <c r="L11">
        <f>INDEX(products!$A$1:$G$49,MATCH(orders!$D11,products!$A$1:$A$49,0),MATCH($L$1,products!$A$1:$G$1,0))</f>
        <v>5.97</v>
      </c>
      <c r="M11">
        <f t="shared" si="1"/>
        <v>5.97</v>
      </c>
      <c r="N11" t="str">
        <f t="shared" si="0"/>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_xlfn.XLOOKUP(C12,customers!$A$2:$A$1001,customers!$B$2:$B$1001,0)</f>
        <v>Ferrell Ferber</v>
      </c>
      <c r="G12" s="2" t="str">
        <f>_xlfn.XLOOKUP(C12,customers!$A$2:$A$1001,customers!$C$2:$C$1001,0)</f>
        <v>fferbera@businesswire.com</v>
      </c>
      <c r="H12" s="2" t="str">
        <f>_xlfn.XLOOKUP(orders!C12,customers!$A$2:$A$1001,customers!$G$2:$G$1001,0)</f>
        <v>United States</v>
      </c>
      <c r="I12" t="str">
        <f>INDEX(products!$A$1:$G$49,MATCH(orders!$D12,products!$A$1:$A$49,0),MATCH($I$1,products!$A$1:$G$1,0))</f>
        <v>Ara</v>
      </c>
      <c r="J12" t="str">
        <f>INDEX(products!$A$1:$G$49,MATCH(orders!$D12,products!$A$1:$A$49,0),MATCH($J$1,products!$A$1:$G$1,0))</f>
        <v>D</v>
      </c>
      <c r="K12" s="1">
        <f>INDEX(products!$A$1:$G$49,MATCH(orders!$D12,products!$A$1:$A$49,0),MATCH($K$1,products!$A$1:$G$1,0))</f>
        <v>1</v>
      </c>
      <c r="L12">
        <f>INDEX(products!$A$1:$G$49,MATCH(orders!$D12,products!$A$1:$A$49,0),MATCH($L$1,products!$A$1:$G$1,0))</f>
        <v>9.9499999999999993</v>
      </c>
      <c r="M12">
        <f t="shared" si="1"/>
        <v>39.799999999999997</v>
      </c>
      <c r="N12" t="str">
        <f t="shared" si="0"/>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_xlfn.XLOOKUP(C13,customers!$A$2:$A$1001,customers!$B$2:$B$1001,0)</f>
        <v>Duky Phizackerly</v>
      </c>
      <c r="G13" s="2" t="str">
        <f>_xlfn.XLOOKUP(C13,customers!$A$2:$A$1001,customers!$C$2:$C$1001,0)</f>
        <v>dphizackerlyb@utexas.edu</v>
      </c>
      <c r="H13" s="2" t="str">
        <f>_xlfn.XLOOKUP(orders!C13,customers!$A$2:$A$1001,customers!$G$2:$G$1001,0)</f>
        <v>United States</v>
      </c>
      <c r="I13" t="str">
        <f>INDEX(products!$A$1:$G$49,MATCH(orders!$D13,products!$A$1:$A$49,0),MATCH($I$1,products!$A$1:$G$1,0))</f>
        <v>Exc</v>
      </c>
      <c r="J13" t="str">
        <f>INDEX(products!$A$1:$G$49,MATCH(orders!$D13,products!$A$1:$A$49,0),MATCH($J$1,products!$A$1:$G$1,0))</f>
        <v>L</v>
      </c>
      <c r="K13" s="1">
        <f>INDEX(products!$A$1:$G$49,MATCH(orders!$D13,products!$A$1:$A$49,0),MATCH($K$1,products!$A$1:$G$1,0))</f>
        <v>2.5</v>
      </c>
      <c r="L13">
        <f>INDEX(products!$A$1:$G$49,MATCH(orders!$D13,products!$A$1:$A$49,0),MATCH($L$1,products!$A$1:$G$1,0))</f>
        <v>34.154999999999994</v>
      </c>
      <c r="M13">
        <f t="shared" si="1"/>
        <v>170.77499999999998</v>
      </c>
      <c r="N13" t="str">
        <f t="shared" si="0"/>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_xlfn.XLOOKUP(C14,customers!$A$2:$A$1001,customers!$B$2:$B$1001,0)</f>
        <v>Rosaleen Scholar</v>
      </c>
      <c r="G14" s="2" t="str">
        <f>_xlfn.XLOOKUP(C14,customers!$A$2:$A$1001,customers!$C$2:$C$1001,0)</f>
        <v>rscholarc@nyu.edu</v>
      </c>
      <c r="H14" s="2" t="str">
        <f>_xlfn.XLOOKUP(orders!C14,customers!$A$2:$A$1001,customers!$G$2:$G$1001,0)</f>
        <v>United States</v>
      </c>
      <c r="I14" t="str">
        <f>INDEX(products!$A$1:$G$49,MATCH(orders!$D14,products!$A$1:$A$49,0),MATCH($I$1,products!$A$1:$G$1,0))</f>
        <v>Rob</v>
      </c>
      <c r="J14" t="str">
        <f>INDEX(products!$A$1:$G$49,MATCH(orders!$D14,products!$A$1:$A$49,0),MATCH($J$1,products!$A$1:$G$1,0))</f>
        <v>M</v>
      </c>
      <c r="K14" s="1">
        <f>INDEX(products!$A$1:$G$49,MATCH(orders!$D14,products!$A$1:$A$49,0),MATCH($K$1,products!$A$1:$G$1,0))</f>
        <v>1</v>
      </c>
      <c r="L14">
        <f>INDEX(products!$A$1:$G$49,MATCH(orders!$D14,products!$A$1:$A$49,0),MATCH($L$1,products!$A$1:$G$1,0))</f>
        <v>9.9499999999999993</v>
      </c>
      <c r="M14">
        <f t="shared" si="1"/>
        <v>49.75</v>
      </c>
      <c r="N14" t="str">
        <f t="shared" si="0"/>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_xlfn.XLOOKUP(C15,customers!$A$2:$A$1001,customers!$B$2:$B$1001,0)</f>
        <v>Terence Vanyutin</v>
      </c>
      <c r="G15" s="2" t="str">
        <f>_xlfn.XLOOKUP(C15,customers!$A$2:$A$1001,customers!$C$2:$C$1001,0)</f>
        <v>tvanyutind@wix.com</v>
      </c>
      <c r="H15" s="2" t="str">
        <f>_xlfn.XLOOKUP(orders!C15,customers!$A$2:$A$1001,customers!$G$2:$G$1001,0)</f>
        <v>United States</v>
      </c>
      <c r="I15" t="str">
        <f>INDEX(products!$A$1:$G$49,MATCH(orders!$D15,products!$A$1:$A$49,0),MATCH($I$1,products!$A$1:$G$1,0))</f>
        <v>Rob</v>
      </c>
      <c r="J15" t="str">
        <f>INDEX(products!$A$1:$G$49,MATCH(orders!$D15,products!$A$1:$A$49,0),MATCH($J$1,products!$A$1:$G$1,0))</f>
        <v>D</v>
      </c>
      <c r="K15" s="1">
        <f>INDEX(products!$A$1:$G$49,MATCH(orders!$D15,products!$A$1:$A$49,0),MATCH($K$1,products!$A$1:$G$1,0))</f>
        <v>2.5</v>
      </c>
      <c r="L15">
        <f>INDEX(products!$A$1:$G$49,MATCH(orders!$D15,products!$A$1:$A$49,0),MATCH($L$1,products!$A$1:$G$1,0))</f>
        <v>20.584999999999997</v>
      </c>
      <c r="M15">
        <f t="shared" si="1"/>
        <v>41.169999999999995</v>
      </c>
      <c r="N15" t="str">
        <f t="shared" si="0"/>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_xlfn.XLOOKUP(C16,customers!$A$2:$A$1001,customers!$B$2:$B$1001,0)</f>
        <v>Patrice Trobe</v>
      </c>
      <c r="G16" s="2" t="str">
        <f>_xlfn.XLOOKUP(C16,customers!$A$2:$A$1001,customers!$C$2:$C$1001,0)</f>
        <v>ptrobee@wunderground.com</v>
      </c>
      <c r="H16" s="2" t="str">
        <f>_xlfn.XLOOKUP(orders!C16,customers!$A$2:$A$1001,customers!$G$2:$G$1001,0)</f>
        <v>United States</v>
      </c>
      <c r="I16" t="str">
        <f>INDEX(products!$A$1:$G$49,MATCH(orders!$D16,products!$A$1:$A$49,0),MATCH($I$1,products!$A$1:$G$1,0))</f>
        <v>Lib</v>
      </c>
      <c r="J16" t="str">
        <f>INDEX(products!$A$1:$G$49,MATCH(orders!$D16,products!$A$1:$A$49,0),MATCH($J$1,products!$A$1:$G$1,0))</f>
        <v>D</v>
      </c>
      <c r="K16" s="1">
        <f>INDEX(products!$A$1:$G$49,MATCH(orders!$D16,products!$A$1:$A$49,0),MATCH($K$1,products!$A$1:$G$1,0))</f>
        <v>0.2</v>
      </c>
      <c r="L16">
        <f>INDEX(products!$A$1:$G$49,MATCH(orders!$D16,products!$A$1:$A$49,0),MATCH($L$1,products!$A$1:$G$1,0))</f>
        <v>3.8849999999999998</v>
      </c>
      <c r="M16">
        <f t="shared" si="1"/>
        <v>11.654999999999999</v>
      </c>
      <c r="N16" t="str">
        <f t="shared" si="0"/>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_xlfn.XLOOKUP(C17,customers!$A$2:$A$1001,customers!$B$2:$B$1001,0)</f>
        <v>Llywellyn Oscroft</v>
      </c>
      <c r="G17" s="2" t="str">
        <f>_xlfn.XLOOKUP(C17,customers!$A$2:$A$1001,customers!$C$2:$C$1001,0)</f>
        <v>loscroftf@ebay.co.uk</v>
      </c>
      <c r="H17" s="2" t="str">
        <f>_xlfn.XLOOKUP(orders!C17,customers!$A$2:$A$1001,customers!$G$2:$G$1001,0)</f>
        <v>United States</v>
      </c>
      <c r="I17" t="str">
        <f>INDEX(products!$A$1:$G$49,MATCH(orders!$D17,products!$A$1:$A$49,0),MATCH($I$1,products!$A$1:$G$1,0))</f>
        <v>Rob</v>
      </c>
      <c r="J17" t="str">
        <f>INDEX(products!$A$1:$G$49,MATCH(orders!$D17,products!$A$1:$A$49,0),MATCH($J$1,products!$A$1:$G$1,0))</f>
        <v>M</v>
      </c>
      <c r="K17" s="1">
        <f>INDEX(products!$A$1:$G$49,MATCH(orders!$D17,products!$A$1:$A$49,0),MATCH($K$1,products!$A$1:$G$1,0))</f>
        <v>2.5</v>
      </c>
      <c r="L17">
        <f>INDEX(products!$A$1:$G$49,MATCH(orders!$D17,products!$A$1:$A$49,0),MATCH($L$1,products!$A$1:$G$1,0))</f>
        <v>22.884999999999998</v>
      </c>
      <c r="M17">
        <f t="shared" si="1"/>
        <v>114.42499999999998</v>
      </c>
      <c r="N17" t="str">
        <f t="shared" si="0"/>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_xlfn.XLOOKUP(C18,customers!$A$2:$A$1001,customers!$B$2:$B$1001,0)</f>
        <v>Minni Alabaster</v>
      </c>
      <c r="G18" s="2" t="str">
        <f>_xlfn.XLOOKUP(C18,customers!$A$2:$A$1001,customers!$C$2:$C$1001,0)</f>
        <v>malabasterg@hexun.com</v>
      </c>
      <c r="H18" s="2" t="str">
        <f>_xlfn.XLOOKUP(orders!C18,customers!$A$2:$A$1001,customers!$G$2:$G$1001,0)</f>
        <v>United States</v>
      </c>
      <c r="I18" t="str">
        <f>INDEX(products!$A$1:$G$49,MATCH(orders!$D18,products!$A$1:$A$49,0),MATCH($I$1,products!$A$1:$G$1,0))</f>
        <v>Ara</v>
      </c>
      <c r="J18" t="str">
        <f>INDEX(products!$A$1:$G$49,MATCH(orders!$D18,products!$A$1:$A$49,0),MATCH($J$1,products!$A$1:$G$1,0))</f>
        <v>M</v>
      </c>
      <c r="K18" s="1">
        <f>INDEX(products!$A$1:$G$49,MATCH(orders!$D18,products!$A$1:$A$49,0),MATCH($K$1,products!$A$1:$G$1,0))</f>
        <v>0.2</v>
      </c>
      <c r="L18">
        <f>INDEX(products!$A$1:$G$49,MATCH(orders!$D18,products!$A$1:$A$49,0),MATCH($L$1,products!$A$1:$G$1,0))</f>
        <v>3.375</v>
      </c>
      <c r="M18">
        <f t="shared" si="1"/>
        <v>20.25</v>
      </c>
      <c r="N18" t="str">
        <f t="shared" si="0"/>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_xlfn.XLOOKUP(C19,customers!$A$2:$A$1001,customers!$B$2:$B$1001,0)</f>
        <v>Rhianon Broxup</v>
      </c>
      <c r="G19" s="2" t="str">
        <f>_xlfn.XLOOKUP(C19,customers!$A$2:$A$1001,customers!$C$2:$C$1001,0)</f>
        <v>rbroxuph@jimdo.com</v>
      </c>
      <c r="H19" s="2" t="str">
        <f>_xlfn.XLOOKUP(orders!C19,customers!$A$2:$A$1001,customers!$G$2:$G$1001,0)</f>
        <v>United States</v>
      </c>
      <c r="I19" t="str">
        <f>INDEX(products!$A$1:$G$49,MATCH(orders!$D19,products!$A$1:$A$49,0),MATCH($I$1,products!$A$1:$G$1,0))</f>
        <v>Ara</v>
      </c>
      <c r="J19" t="str">
        <f>INDEX(products!$A$1:$G$49,MATCH(orders!$D19,products!$A$1:$A$49,0),MATCH($J$1,products!$A$1:$G$1,0))</f>
        <v>L</v>
      </c>
      <c r="K19" s="1">
        <f>INDEX(products!$A$1:$G$49,MATCH(orders!$D19,products!$A$1:$A$49,0),MATCH($K$1,products!$A$1:$G$1,0))</f>
        <v>1</v>
      </c>
      <c r="L19">
        <f>INDEX(products!$A$1:$G$49,MATCH(orders!$D19,products!$A$1:$A$49,0),MATCH($L$1,products!$A$1:$G$1,0))</f>
        <v>12.95</v>
      </c>
      <c r="M19">
        <f t="shared" si="1"/>
        <v>77.699999999999989</v>
      </c>
      <c r="N19" t="str">
        <f t="shared" si="0"/>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_xlfn.XLOOKUP(C20,customers!$A$2:$A$1001,customers!$B$2:$B$1001,0)</f>
        <v>Pall Redford</v>
      </c>
      <c r="G20" s="2" t="str">
        <f>_xlfn.XLOOKUP(C20,customers!$A$2:$A$1001,customers!$C$2:$C$1001,0)</f>
        <v>predfordi@ow.ly</v>
      </c>
      <c r="H20" s="2" t="str">
        <f>_xlfn.XLOOKUP(orders!C20,customers!$A$2:$A$1001,customers!$G$2:$G$1001,0)</f>
        <v>Ireland</v>
      </c>
      <c r="I20" t="str">
        <f>INDEX(products!$A$1:$G$49,MATCH(orders!$D20,products!$A$1:$A$49,0),MATCH($I$1,products!$A$1:$G$1,0))</f>
        <v>Rob</v>
      </c>
      <c r="J20" t="str">
        <f>INDEX(products!$A$1:$G$49,MATCH(orders!$D20,products!$A$1:$A$49,0),MATCH($J$1,products!$A$1:$G$1,0))</f>
        <v>D</v>
      </c>
      <c r="K20" s="1">
        <f>INDEX(products!$A$1:$G$49,MATCH(orders!$D20,products!$A$1:$A$49,0),MATCH($K$1,products!$A$1:$G$1,0))</f>
        <v>2.5</v>
      </c>
      <c r="L20">
        <f>INDEX(products!$A$1:$G$49,MATCH(orders!$D20,products!$A$1:$A$49,0),MATCH($L$1,products!$A$1:$G$1,0))</f>
        <v>20.584999999999997</v>
      </c>
      <c r="M20">
        <f t="shared" si="1"/>
        <v>82.339999999999989</v>
      </c>
      <c r="N20" t="str">
        <f t="shared" si="0"/>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_xlfn.XLOOKUP(C21,customers!$A$2:$A$1001,customers!$B$2:$B$1001,0)</f>
        <v>Aurea Corradino</v>
      </c>
      <c r="G21" s="2" t="str">
        <f>_xlfn.XLOOKUP(C21,customers!$A$2:$A$1001,customers!$C$2:$C$1001,0)</f>
        <v>acorradinoj@harvard.edu</v>
      </c>
      <c r="H21" s="2" t="str">
        <f>_xlfn.XLOOKUP(orders!C21,customers!$A$2:$A$1001,customers!$G$2:$G$1001,0)</f>
        <v>United States</v>
      </c>
      <c r="I21" t="str">
        <f>INDEX(products!$A$1:$G$49,MATCH(orders!$D21,products!$A$1:$A$49,0),MATCH($I$1,products!$A$1:$G$1,0))</f>
        <v>Ara</v>
      </c>
      <c r="J21" t="str">
        <f>INDEX(products!$A$1:$G$49,MATCH(orders!$D21,products!$A$1:$A$49,0),MATCH($J$1,products!$A$1:$G$1,0))</f>
        <v>M</v>
      </c>
      <c r="K21" s="1">
        <f>INDEX(products!$A$1:$G$49,MATCH(orders!$D21,products!$A$1:$A$49,0),MATCH($K$1,products!$A$1:$G$1,0))</f>
        <v>0.2</v>
      </c>
      <c r="L21">
        <f>INDEX(products!$A$1:$G$49,MATCH(orders!$D21,products!$A$1:$A$49,0),MATCH($L$1,products!$A$1:$G$1,0))</f>
        <v>3.375</v>
      </c>
      <c r="M21">
        <f t="shared" si="1"/>
        <v>16.875</v>
      </c>
      <c r="N21" t="str">
        <f t="shared" si="0"/>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_xlfn.XLOOKUP(C22,customers!$A$2:$A$1001,customers!$B$2:$B$1001,0)</f>
        <v>Aurea Corradino</v>
      </c>
      <c r="G22" s="2" t="str">
        <f>_xlfn.XLOOKUP(C22,customers!$A$2:$A$1001,customers!$C$2:$C$1001,0)</f>
        <v>acorradinoj@harvard.edu</v>
      </c>
      <c r="H22" s="2" t="str">
        <f>_xlfn.XLOOKUP(orders!C22,customers!$A$2:$A$1001,customers!$G$2:$G$1001,0)</f>
        <v>United States</v>
      </c>
      <c r="I22" t="str">
        <f>INDEX(products!$A$1:$G$49,MATCH(orders!$D22,products!$A$1:$A$49,0),MATCH($I$1,products!$A$1:$G$1,0))</f>
        <v>Exc</v>
      </c>
      <c r="J22" t="str">
        <f>INDEX(products!$A$1:$G$49,MATCH(orders!$D22,products!$A$1:$A$49,0),MATCH($J$1,products!$A$1:$G$1,0))</f>
        <v>D</v>
      </c>
      <c r="K22" s="1">
        <f>INDEX(products!$A$1:$G$49,MATCH(orders!$D22,products!$A$1:$A$49,0),MATCH($K$1,products!$A$1:$G$1,0))</f>
        <v>0.2</v>
      </c>
      <c r="L22">
        <f>INDEX(products!$A$1:$G$49,MATCH(orders!$D22,products!$A$1:$A$49,0),MATCH($L$1,products!$A$1:$G$1,0))</f>
        <v>3.645</v>
      </c>
      <c r="M22">
        <f t="shared" si="1"/>
        <v>14.58</v>
      </c>
      <c r="N22" t="str">
        <f t="shared" si="0"/>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_xlfn.XLOOKUP(C23,customers!$A$2:$A$1001,customers!$B$2:$B$1001,0)</f>
        <v>Avrit Davidowsky</v>
      </c>
      <c r="G23" s="2" t="str">
        <f>_xlfn.XLOOKUP(C23,customers!$A$2:$A$1001,customers!$C$2:$C$1001,0)</f>
        <v>adavidowskyl@netvibes.com</v>
      </c>
      <c r="H23" s="2" t="str">
        <f>_xlfn.XLOOKUP(orders!C23,customers!$A$2:$A$1001,customers!$G$2:$G$1001,0)</f>
        <v>United States</v>
      </c>
      <c r="I23" t="str">
        <f>INDEX(products!$A$1:$G$49,MATCH(orders!$D23,products!$A$1:$A$49,0),MATCH($I$1,products!$A$1:$G$1,0))</f>
        <v>Ara</v>
      </c>
      <c r="J23" t="str">
        <f>INDEX(products!$A$1:$G$49,MATCH(orders!$D23,products!$A$1:$A$49,0),MATCH($J$1,products!$A$1:$G$1,0))</f>
        <v>D</v>
      </c>
      <c r="K23" s="1">
        <f>INDEX(products!$A$1:$G$49,MATCH(orders!$D23,products!$A$1:$A$49,0),MATCH($K$1,products!$A$1:$G$1,0))</f>
        <v>0.2</v>
      </c>
      <c r="L23">
        <f>INDEX(products!$A$1:$G$49,MATCH(orders!$D23,products!$A$1:$A$49,0),MATCH($L$1,products!$A$1:$G$1,0))</f>
        <v>2.9849999999999999</v>
      </c>
      <c r="M23">
        <f t="shared" si="1"/>
        <v>17.91</v>
      </c>
      <c r="N23" t="str">
        <f t="shared" si="0"/>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_xlfn.XLOOKUP(C24,customers!$A$2:$A$1001,customers!$B$2:$B$1001,0)</f>
        <v>Annabel Antuk</v>
      </c>
      <c r="G24" s="2" t="str">
        <f>_xlfn.XLOOKUP(C24,customers!$A$2:$A$1001,customers!$C$2:$C$1001,0)</f>
        <v>aantukm@kickstarter.com</v>
      </c>
      <c r="H24" s="2" t="str">
        <f>_xlfn.XLOOKUP(orders!C24,customers!$A$2:$A$1001,customers!$G$2:$G$1001,0)</f>
        <v>United States</v>
      </c>
      <c r="I24" t="str">
        <f>INDEX(products!$A$1:$G$49,MATCH(orders!$D24,products!$A$1:$A$49,0),MATCH($I$1,products!$A$1:$G$1,0))</f>
        <v>Rob</v>
      </c>
      <c r="J24" t="str">
        <f>INDEX(products!$A$1:$G$49,MATCH(orders!$D24,products!$A$1:$A$49,0),MATCH($J$1,products!$A$1:$G$1,0))</f>
        <v>M</v>
      </c>
      <c r="K24" s="1">
        <f>INDEX(products!$A$1:$G$49,MATCH(orders!$D24,products!$A$1:$A$49,0),MATCH($K$1,products!$A$1:$G$1,0))</f>
        <v>2.5</v>
      </c>
      <c r="L24">
        <f>INDEX(products!$A$1:$G$49,MATCH(orders!$D24,products!$A$1:$A$49,0),MATCH($L$1,products!$A$1:$G$1,0))</f>
        <v>22.884999999999998</v>
      </c>
      <c r="M24">
        <f t="shared" si="1"/>
        <v>91.539999999999992</v>
      </c>
      <c r="N24" t="str">
        <f t="shared" si="0"/>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_xlfn.XLOOKUP(C25,customers!$A$2:$A$1001,customers!$B$2:$B$1001,0)</f>
        <v>Iorgo Kleinert</v>
      </c>
      <c r="G25" s="2" t="str">
        <f>_xlfn.XLOOKUP(C25,customers!$A$2:$A$1001,customers!$C$2:$C$1001,0)</f>
        <v>ikleinertn@timesonline.co.uk</v>
      </c>
      <c r="H25" s="2" t="str">
        <f>_xlfn.XLOOKUP(orders!C25,customers!$A$2:$A$1001,customers!$G$2:$G$1001,0)</f>
        <v>United States</v>
      </c>
      <c r="I25" t="str">
        <f>INDEX(products!$A$1:$G$49,MATCH(orders!$D25,products!$A$1:$A$49,0),MATCH($I$1,products!$A$1:$G$1,0))</f>
        <v>Ara</v>
      </c>
      <c r="J25" t="str">
        <f>INDEX(products!$A$1:$G$49,MATCH(orders!$D25,products!$A$1:$A$49,0),MATCH($J$1,products!$A$1:$G$1,0))</f>
        <v>D</v>
      </c>
      <c r="K25" s="1">
        <f>INDEX(products!$A$1:$G$49,MATCH(orders!$D25,products!$A$1:$A$49,0),MATCH($K$1,products!$A$1:$G$1,0))</f>
        <v>0.2</v>
      </c>
      <c r="L25">
        <f>INDEX(products!$A$1:$G$49,MATCH(orders!$D25,products!$A$1:$A$49,0),MATCH($L$1,products!$A$1:$G$1,0))</f>
        <v>2.9849999999999999</v>
      </c>
      <c r="M25">
        <f t="shared" si="1"/>
        <v>11.94</v>
      </c>
      <c r="N25" t="str">
        <f t="shared" si="0"/>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_xlfn.XLOOKUP(C26,customers!$A$2:$A$1001,customers!$B$2:$B$1001,0)</f>
        <v>Chrisy Blofeld</v>
      </c>
      <c r="G26" s="2" t="str">
        <f>_xlfn.XLOOKUP(C26,customers!$A$2:$A$1001,customers!$C$2:$C$1001,0)</f>
        <v>cblofeldo@amazon.co.uk</v>
      </c>
      <c r="H26" s="2" t="str">
        <f>_xlfn.XLOOKUP(orders!C26,customers!$A$2:$A$1001,customers!$G$2:$G$1001,0)</f>
        <v>United States</v>
      </c>
      <c r="I26" t="str">
        <f>INDEX(products!$A$1:$G$49,MATCH(orders!$D26,products!$A$1:$A$49,0),MATCH($I$1,products!$A$1:$G$1,0))</f>
        <v>Ara</v>
      </c>
      <c r="J26" t="str">
        <f>INDEX(products!$A$1:$G$49,MATCH(orders!$D26,products!$A$1:$A$49,0),MATCH($J$1,products!$A$1:$G$1,0))</f>
        <v>M</v>
      </c>
      <c r="K26" s="1">
        <f>INDEX(products!$A$1:$G$49,MATCH(orders!$D26,products!$A$1:$A$49,0),MATCH($K$1,products!$A$1:$G$1,0))</f>
        <v>1</v>
      </c>
      <c r="L26">
        <f>INDEX(products!$A$1:$G$49,MATCH(orders!$D26,products!$A$1:$A$49,0),MATCH($L$1,products!$A$1:$G$1,0))</f>
        <v>11.25</v>
      </c>
      <c r="M26">
        <f t="shared" si="1"/>
        <v>11.25</v>
      </c>
      <c r="N26" t="str">
        <f t="shared" si="0"/>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_xlfn.XLOOKUP(C27,customers!$A$2:$A$1001,customers!$B$2:$B$1001,0)</f>
        <v>Culley Farris</v>
      </c>
      <c r="G27" s="2">
        <f>_xlfn.XLOOKUP(C27,customers!$A$2:$A$1001,customers!$C$2:$C$1001,0)</f>
        <v>0</v>
      </c>
      <c r="H27" s="2" t="str">
        <f>_xlfn.XLOOKUP(orders!C27,customers!$A$2:$A$1001,customers!$G$2:$G$1001,0)</f>
        <v>United States</v>
      </c>
      <c r="I27" t="str">
        <f>INDEX(products!$A$1:$G$49,MATCH(orders!$D27,products!$A$1:$A$49,0),MATCH($I$1,products!$A$1:$G$1,0))</f>
        <v>Exc</v>
      </c>
      <c r="J27" t="str">
        <f>INDEX(products!$A$1:$G$49,MATCH(orders!$D27,products!$A$1:$A$49,0),MATCH($J$1,products!$A$1:$G$1,0))</f>
        <v>M</v>
      </c>
      <c r="K27" s="1">
        <f>INDEX(products!$A$1:$G$49,MATCH(orders!$D27,products!$A$1:$A$49,0),MATCH($K$1,products!$A$1:$G$1,0))</f>
        <v>0.2</v>
      </c>
      <c r="L27">
        <f>INDEX(products!$A$1:$G$49,MATCH(orders!$D27,products!$A$1:$A$49,0),MATCH($L$1,products!$A$1:$G$1,0))</f>
        <v>4.125</v>
      </c>
      <c r="M27">
        <f t="shared" si="1"/>
        <v>12.375</v>
      </c>
      <c r="N27" t="str">
        <f t="shared" si="0"/>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_xlfn.XLOOKUP(C28,customers!$A$2:$A$1001,customers!$B$2:$B$1001,0)</f>
        <v>Selene Shales</v>
      </c>
      <c r="G28" s="2" t="str">
        <f>_xlfn.XLOOKUP(C28,customers!$A$2:$A$1001,customers!$C$2:$C$1001,0)</f>
        <v>sshalesq@umich.edu</v>
      </c>
      <c r="H28" s="2" t="str">
        <f>_xlfn.XLOOKUP(orders!C28,customers!$A$2:$A$1001,customers!$G$2:$G$1001,0)</f>
        <v>United States</v>
      </c>
      <c r="I28" t="str">
        <f>INDEX(products!$A$1:$G$49,MATCH(orders!$D28,products!$A$1:$A$49,0),MATCH($I$1,products!$A$1:$G$1,0))</f>
        <v>Ara</v>
      </c>
      <c r="J28" t="str">
        <f>INDEX(products!$A$1:$G$49,MATCH(orders!$D28,products!$A$1:$A$49,0),MATCH($J$1,products!$A$1:$G$1,0))</f>
        <v>M</v>
      </c>
      <c r="K28" s="1">
        <f>INDEX(products!$A$1:$G$49,MATCH(orders!$D28,products!$A$1:$A$49,0),MATCH($K$1,products!$A$1:$G$1,0))</f>
        <v>0.5</v>
      </c>
      <c r="L28">
        <f>INDEX(products!$A$1:$G$49,MATCH(orders!$D28,products!$A$1:$A$49,0),MATCH($L$1,products!$A$1:$G$1,0))</f>
        <v>6.75</v>
      </c>
      <c r="M28">
        <f t="shared" si="1"/>
        <v>27</v>
      </c>
      <c r="N28" t="str">
        <f t="shared" si="0"/>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_xlfn.XLOOKUP(C29,customers!$A$2:$A$1001,customers!$B$2:$B$1001,0)</f>
        <v>Vivie Danneil</v>
      </c>
      <c r="G29" s="2" t="str">
        <f>_xlfn.XLOOKUP(C29,customers!$A$2:$A$1001,customers!$C$2:$C$1001,0)</f>
        <v>vdanneilr@mtv.com</v>
      </c>
      <c r="H29" s="2" t="str">
        <f>_xlfn.XLOOKUP(orders!C29,customers!$A$2:$A$1001,customers!$G$2:$G$1001,0)</f>
        <v>Ireland</v>
      </c>
      <c r="I29" t="str">
        <f>INDEX(products!$A$1:$G$49,MATCH(orders!$D29,products!$A$1:$A$49,0),MATCH($I$1,products!$A$1:$G$1,0))</f>
        <v>Ara</v>
      </c>
      <c r="J29" t="str">
        <f>INDEX(products!$A$1:$G$49,MATCH(orders!$D29,products!$A$1:$A$49,0),MATCH($J$1,products!$A$1:$G$1,0))</f>
        <v>M</v>
      </c>
      <c r="K29" s="1">
        <f>INDEX(products!$A$1:$G$49,MATCH(orders!$D29,products!$A$1:$A$49,0),MATCH($K$1,products!$A$1:$G$1,0))</f>
        <v>0.2</v>
      </c>
      <c r="L29">
        <f>INDEX(products!$A$1:$G$49,MATCH(orders!$D29,products!$A$1:$A$49,0),MATCH($L$1,products!$A$1:$G$1,0))</f>
        <v>3.375</v>
      </c>
      <c r="M29">
        <f t="shared" si="1"/>
        <v>16.875</v>
      </c>
      <c r="N29" t="str">
        <f t="shared" si="0"/>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_xlfn.XLOOKUP(C30,customers!$A$2:$A$1001,customers!$B$2:$B$1001,0)</f>
        <v>Theresita Newbury</v>
      </c>
      <c r="G30" s="2" t="str">
        <f>_xlfn.XLOOKUP(C30,customers!$A$2:$A$1001,customers!$C$2:$C$1001,0)</f>
        <v>tnewburys@usda.gov</v>
      </c>
      <c r="H30" s="2" t="str">
        <f>_xlfn.XLOOKUP(orders!C30,customers!$A$2:$A$1001,customers!$G$2:$G$1001,0)</f>
        <v>Ireland</v>
      </c>
      <c r="I30" t="str">
        <f>INDEX(products!$A$1:$G$49,MATCH(orders!$D30,products!$A$1:$A$49,0),MATCH($I$1,products!$A$1:$G$1,0))</f>
        <v>Ara</v>
      </c>
      <c r="J30" t="str">
        <f>INDEX(products!$A$1:$G$49,MATCH(orders!$D30,products!$A$1:$A$49,0),MATCH($J$1,products!$A$1:$G$1,0))</f>
        <v>D</v>
      </c>
      <c r="K30" s="1">
        <f>INDEX(products!$A$1:$G$49,MATCH(orders!$D30,products!$A$1:$A$49,0),MATCH($K$1,products!$A$1:$G$1,0))</f>
        <v>0.5</v>
      </c>
      <c r="L30">
        <f>INDEX(products!$A$1:$G$49,MATCH(orders!$D30,products!$A$1:$A$49,0),MATCH($L$1,products!$A$1:$G$1,0))</f>
        <v>5.97</v>
      </c>
      <c r="M30">
        <f t="shared" si="1"/>
        <v>17.91</v>
      </c>
      <c r="N30" t="str">
        <f t="shared" si="0"/>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_xlfn.XLOOKUP(C31,customers!$A$2:$A$1001,customers!$B$2:$B$1001,0)</f>
        <v>Mozelle Calcutt</v>
      </c>
      <c r="G31" s="2" t="str">
        <f>_xlfn.XLOOKUP(C31,customers!$A$2:$A$1001,customers!$C$2:$C$1001,0)</f>
        <v>mcalcuttt@baidu.com</v>
      </c>
      <c r="H31" s="2" t="str">
        <f>_xlfn.XLOOKUP(orders!C31,customers!$A$2:$A$1001,customers!$G$2:$G$1001,0)</f>
        <v>Ireland</v>
      </c>
      <c r="I31" t="str">
        <f>INDEX(products!$A$1:$G$49,MATCH(orders!$D31,products!$A$1:$A$49,0),MATCH($I$1,products!$A$1:$G$1,0))</f>
        <v>Ara</v>
      </c>
      <c r="J31" t="str">
        <f>INDEX(products!$A$1:$G$49,MATCH(orders!$D31,products!$A$1:$A$49,0),MATCH($J$1,products!$A$1:$G$1,0))</f>
        <v>D</v>
      </c>
      <c r="K31" s="1">
        <f>INDEX(products!$A$1:$G$49,MATCH(orders!$D31,products!$A$1:$A$49,0),MATCH($K$1,products!$A$1:$G$1,0))</f>
        <v>1</v>
      </c>
      <c r="L31">
        <f>INDEX(products!$A$1:$G$49,MATCH(orders!$D31,products!$A$1:$A$49,0),MATCH($L$1,products!$A$1:$G$1,0))</f>
        <v>9.9499999999999993</v>
      </c>
      <c r="M31">
        <f t="shared" si="1"/>
        <v>39.799999999999997</v>
      </c>
      <c r="N31" t="str">
        <f t="shared" si="0"/>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_xlfn.XLOOKUP(C32,customers!$A$2:$A$1001,customers!$B$2:$B$1001,0)</f>
        <v>Adrian Swaine</v>
      </c>
      <c r="G32" s="2">
        <f>_xlfn.XLOOKUP(C32,customers!$A$2:$A$1001,customers!$C$2:$C$1001,0)</f>
        <v>0</v>
      </c>
      <c r="H32" s="2" t="str">
        <f>_xlfn.XLOOKUP(orders!C32,customers!$A$2:$A$1001,customers!$G$2:$G$1001,0)</f>
        <v>United States</v>
      </c>
      <c r="I32" t="str">
        <f>INDEX(products!$A$1:$G$49,MATCH(orders!$D32,products!$A$1:$A$49,0),MATCH($I$1,products!$A$1:$G$1,0))</f>
        <v>Lib</v>
      </c>
      <c r="J32" t="str">
        <f>INDEX(products!$A$1:$G$49,MATCH(orders!$D32,products!$A$1:$A$49,0),MATCH($J$1,products!$A$1:$G$1,0))</f>
        <v>M</v>
      </c>
      <c r="K32" s="1">
        <f>INDEX(products!$A$1:$G$49,MATCH(orders!$D32,products!$A$1:$A$49,0),MATCH($K$1,products!$A$1:$G$1,0))</f>
        <v>0.2</v>
      </c>
      <c r="L32">
        <f>INDEX(products!$A$1:$G$49,MATCH(orders!$D32,products!$A$1:$A$49,0),MATCH($L$1,products!$A$1:$G$1,0))</f>
        <v>4.3650000000000002</v>
      </c>
      <c r="M32">
        <f t="shared" si="1"/>
        <v>21.825000000000003</v>
      </c>
      <c r="N32" t="str">
        <f t="shared" si="0"/>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_xlfn.XLOOKUP(C33,customers!$A$2:$A$1001,customers!$B$2:$B$1001,0)</f>
        <v>Adrian Swaine</v>
      </c>
      <c r="G33" s="2">
        <f>_xlfn.XLOOKUP(C33,customers!$A$2:$A$1001,customers!$C$2:$C$1001,0)</f>
        <v>0</v>
      </c>
      <c r="H33" s="2" t="str">
        <f>_xlfn.XLOOKUP(orders!C33,customers!$A$2:$A$1001,customers!$G$2:$G$1001,0)</f>
        <v>United States</v>
      </c>
      <c r="I33" t="str">
        <f>INDEX(products!$A$1:$G$49,MATCH(orders!$D33,products!$A$1:$A$49,0),MATCH($I$1,products!$A$1:$G$1,0))</f>
        <v>Ara</v>
      </c>
      <c r="J33" t="str">
        <f>INDEX(products!$A$1:$G$49,MATCH(orders!$D33,products!$A$1:$A$49,0),MATCH($J$1,products!$A$1:$G$1,0))</f>
        <v>D</v>
      </c>
      <c r="K33" s="1">
        <f>INDEX(products!$A$1:$G$49,MATCH(orders!$D33,products!$A$1:$A$49,0),MATCH($K$1,products!$A$1:$G$1,0))</f>
        <v>0.5</v>
      </c>
      <c r="L33">
        <f>INDEX(products!$A$1:$G$49,MATCH(orders!$D33,products!$A$1:$A$49,0),MATCH($L$1,products!$A$1:$G$1,0))</f>
        <v>5.97</v>
      </c>
      <c r="M33">
        <f t="shared" si="1"/>
        <v>35.82</v>
      </c>
      <c r="N33" t="str">
        <f t="shared" si="0"/>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_xlfn.XLOOKUP(C34,customers!$A$2:$A$1001,customers!$B$2:$B$1001,0)</f>
        <v>Adrian Swaine</v>
      </c>
      <c r="G34" s="2">
        <f>_xlfn.XLOOKUP(C34,customers!$A$2:$A$1001,customers!$C$2:$C$1001,0)</f>
        <v>0</v>
      </c>
      <c r="H34" s="2" t="str">
        <f>_xlfn.XLOOKUP(orders!C34,customers!$A$2:$A$1001,customers!$G$2:$G$1001,0)</f>
        <v>United States</v>
      </c>
      <c r="I34" t="str">
        <f>INDEX(products!$A$1:$G$49,MATCH(orders!$D34,products!$A$1:$A$49,0),MATCH($I$1,products!$A$1:$G$1,0))</f>
        <v>Lib</v>
      </c>
      <c r="J34" t="str">
        <f>INDEX(products!$A$1:$G$49,MATCH(orders!$D34,products!$A$1:$A$49,0),MATCH($J$1,products!$A$1:$G$1,0))</f>
        <v>M</v>
      </c>
      <c r="K34" s="1">
        <f>INDEX(products!$A$1:$G$49,MATCH(orders!$D34,products!$A$1:$A$49,0),MATCH($K$1,products!$A$1:$G$1,0))</f>
        <v>0.5</v>
      </c>
      <c r="L34">
        <f>INDEX(products!$A$1:$G$49,MATCH(orders!$D34,products!$A$1:$A$49,0),MATCH($L$1,products!$A$1:$G$1,0))</f>
        <v>8.73</v>
      </c>
      <c r="M34">
        <f t="shared" si="1"/>
        <v>52.38</v>
      </c>
      <c r="N34" t="str">
        <f t="shared" ref="N34:N66" si="3">IF(I34="Rob","Robusta",IF(I34="Exc","Excelsa",IF(I34="Ara","Arabica",IF(I34="Lib","Liberica",""))))</f>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_xlfn.XLOOKUP(C35,customers!$A$2:$A$1001,customers!$B$2:$B$1001,0)</f>
        <v>Gallard Gatheral</v>
      </c>
      <c r="G35" s="2" t="str">
        <f>_xlfn.XLOOKUP(C35,customers!$A$2:$A$1001,customers!$C$2:$C$1001,0)</f>
        <v>ggatheralx@123-reg.co.uk</v>
      </c>
      <c r="H35" s="2" t="str">
        <f>_xlfn.XLOOKUP(orders!C35,customers!$A$2:$A$1001,customers!$G$2:$G$1001,0)</f>
        <v>United States</v>
      </c>
      <c r="I35" t="str">
        <f>INDEX(products!$A$1:$G$49,MATCH(orders!$D35,products!$A$1:$A$49,0),MATCH($I$1,products!$A$1:$G$1,0))</f>
        <v>Lib</v>
      </c>
      <c r="J35" t="str">
        <f>INDEX(products!$A$1:$G$49,MATCH(orders!$D35,products!$A$1:$A$49,0),MATCH($J$1,products!$A$1:$G$1,0))</f>
        <v>L</v>
      </c>
      <c r="K35" s="1">
        <f>INDEX(products!$A$1:$G$49,MATCH(orders!$D35,products!$A$1:$A$49,0),MATCH($K$1,products!$A$1:$G$1,0))</f>
        <v>0.2</v>
      </c>
      <c r="L35">
        <f>INDEX(products!$A$1:$G$49,MATCH(orders!$D35,products!$A$1:$A$49,0),MATCH($L$1,products!$A$1:$G$1,0))</f>
        <v>4.7549999999999999</v>
      </c>
      <c r="M35">
        <f t="shared" si="1"/>
        <v>23.774999999999999</v>
      </c>
      <c r="N35" t="str">
        <f t="shared" si="3"/>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_xlfn.XLOOKUP(C36,customers!$A$2:$A$1001,customers!$B$2:$B$1001,0)</f>
        <v>Una Welberry</v>
      </c>
      <c r="G36" s="2" t="str">
        <f>_xlfn.XLOOKUP(C36,customers!$A$2:$A$1001,customers!$C$2:$C$1001,0)</f>
        <v>uwelberryy@ebay.co.uk</v>
      </c>
      <c r="H36" s="2" t="str">
        <f>_xlfn.XLOOKUP(orders!C36,customers!$A$2:$A$1001,customers!$G$2:$G$1001,0)</f>
        <v>United Kingdom</v>
      </c>
      <c r="I36" t="str">
        <f>INDEX(products!$A$1:$G$49,MATCH(orders!$D36,products!$A$1:$A$49,0),MATCH($I$1,products!$A$1:$G$1,0))</f>
        <v>Lib</v>
      </c>
      <c r="J36" t="str">
        <f>INDEX(products!$A$1:$G$49,MATCH(orders!$D36,products!$A$1:$A$49,0),MATCH($J$1,products!$A$1:$G$1,0))</f>
        <v>L</v>
      </c>
      <c r="K36" s="1">
        <f>INDEX(products!$A$1:$G$49,MATCH(orders!$D36,products!$A$1:$A$49,0),MATCH($K$1,products!$A$1:$G$1,0))</f>
        <v>0.5</v>
      </c>
      <c r="L36">
        <f>INDEX(products!$A$1:$G$49,MATCH(orders!$D36,products!$A$1:$A$49,0),MATCH($L$1,products!$A$1:$G$1,0))</f>
        <v>9.51</v>
      </c>
      <c r="M36">
        <f t="shared" si="1"/>
        <v>57.06</v>
      </c>
      <c r="N36" t="str">
        <f t="shared" si="3"/>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_xlfn.XLOOKUP(C37,customers!$A$2:$A$1001,customers!$B$2:$B$1001,0)</f>
        <v>Faber Eilhart</v>
      </c>
      <c r="G37" s="2" t="str">
        <f>_xlfn.XLOOKUP(C37,customers!$A$2:$A$1001,customers!$C$2:$C$1001,0)</f>
        <v>feilhartz@who.int</v>
      </c>
      <c r="H37" s="2" t="str">
        <f>_xlfn.XLOOKUP(orders!C37,customers!$A$2:$A$1001,customers!$G$2:$G$1001,0)</f>
        <v>United States</v>
      </c>
      <c r="I37" t="str">
        <f>INDEX(products!$A$1:$G$49,MATCH(orders!$D37,products!$A$1:$A$49,0),MATCH($I$1,products!$A$1:$G$1,0))</f>
        <v>Ara</v>
      </c>
      <c r="J37" t="str">
        <f>INDEX(products!$A$1:$G$49,MATCH(orders!$D37,products!$A$1:$A$49,0),MATCH($J$1,products!$A$1:$G$1,0))</f>
        <v>D</v>
      </c>
      <c r="K37" s="1">
        <f>INDEX(products!$A$1:$G$49,MATCH(orders!$D37,products!$A$1:$A$49,0),MATCH($K$1,products!$A$1:$G$1,0))</f>
        <v>0.5</v>
      </c>
      <c r="L37">
        <f>INDEX(products!$A$1:$G$49,MATCH(orders!$D37,products!$A$1:$A$49,0),MATCH($L$1,products!$A$1:$G$1,0))</f>
        <v>5.97</v>
      </c>
      <c r="M37">
        <f t="shared" si="1"/>
        <v>35.82</v>
      </c>
      <c r="N37" t="str">
        <f t="shared" si="3"/>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_xlfn.XLOOKUP(C38,customers!$A$2:$A$1001,customers!$B$2:$B$1001,0)</f>
        <v>Zorina Ponting</v>
      </c>
      <c r="G38" s="2" t="str">
        <f>_xlfn.XLOOKUP(C38,customers!$A$2:$A$1001,customers!$C$2:$C$1001,0)</f>
        <v>zponting10@altervista.org</v>
      </c>
      <c r="H38" s="2" t="str">
        <f>_xlfn.XLOOKUP(orders!C38,customers!$A$2:$A$1001,customers!$G$2:$G$1001,0)</f>
        <v>United States</v>
      </c>
      <c r="I38" t="str">
        <f>INDEX(products!$A$1:$G$49,MATCH(orders!$D38,products!$A$1:$A$49,0),MATCH($I$1,products!$A$1:$G$1,0))</f>
        <v>Lib</v>
      </c>
      <c r="J38" t="str">
        <f>INDEX(products!$A$1:$G$49,MATCH(orders!$D38,products!$A$1:$A$49,0),MATCH($J$1,products!$A$1:$G$1,0))</f>
        <v>M</v>
      </c>
      <c r="K38" s="1">
        <f>INDEX(products!$A$1:$G$49,MATCH(orders!$D38,products!$A$1:$A$49,0),MATCH($K$1,products!$A$1:$G$1,0))</f>
        <v>0.2</v>
      </c>
      <c r="L38">
        <f>INDEX(products!$A$1:$G$49,MATCH(orders!$D38,products!$A$1:$A$49,0),MATCH($L$1,products!$A$1:$G$1,0))</f>
        <v>4.3650000000000002</v>
      </c>
      <c r="M38">
        <f t="shared" si="1"/>
        <v>8.73</v>
      </c>
      <c r="N38" t="str">
        <f t="shared" si="3"/>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_xlfn.XLOOKUP(C39,customers!$A$2:$A$1001,customers!$B$2:$B$1001,0)</f>
        <v>Silvio Strase</v>
      </c>
      <c r="G39" s="2" t="str">
        <f>_xlfn.XLOOKUP(C39,customers!$A$2:$A$1001,customers!$C$2:$C$1001,0)</f>
        <v>sstrase11@booking.com</v>
      </c>
      <c r="H39" s="2" t="str">
        <f>_xlfn.XLOOKUP(orders!C39,customers!$A$2:$A$1001,customers!$G$2:$G$1001,0)</f>
        <v>United States</v>
      </c>
      <c r="I39" t="str">
        <f>INDEX(products!$A$1:$G$49,MATCH(orders!$D39,products!$A$1:$A$49,0),MATCH($I$1,products!$A$1:$G$1,0))</f>
        <v>Lib</v>
      </c>
      <c r="J39" t="str">
        <f>INDEX(products!$A$1:$G$49,MATCH(orders!$D39,products!$A$1:$A$49,0),MATCH($J$1,products!$A$1:$G$1,0))</f>
        <v>L</v>
      </c>
      <c r="K39" s="1">
        <f>INDEX(products!$A$1:$G$49,MATCH(orders!$D39,products!$A$1:$A$49,0),MATCH($K$1,products!$A$1:$G$1,0))</f>
        <v>0.5</v>
      </c>
      <c r="L39">
        <f>INDEX(products!$A$1:$G$49,MATCH(orders!$D39,products!$A$1:$A$49,0),MATCH($L$1,products!$A$1:$G$1,0))</f>
        <v>9.51</v>
      </c>
      <c r="M39">
        <f t="shared" si="1"/>
        <v>28.53</v>
      </c>
      <c r="N39" t="str">
        <f t="shared" si="3"/>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_xlfn.XLOOKUP(C40,customers!$A$2:$A$1001,customers!$B$2:$B$1001,0)</f>
        <v>Dorie de la Tremoille</v>
      </c>
      <c r="G40" s="2" t="str">
        <f>_xlfn.XLOOKUP(C40,customers!$A$2:$A$1001,customers!$C$2:$C$1001,0)</f>
        <v>dde12@unesco.org</v>
      </c>
      <c r="H40" s="2" t="str">
        <f>_xlfn.XLOOKUP(orders!C40,customers!$A$2:$A$1001,customers!$G$2:$G$1001,0)</f>
        <v>United States</v>
      </c>
      <c r="I40" t="str">
        <f>INDEX(products!$A$1:$G$49,MATCH(orders!$D40,products!$A$1:$A$49,0),MATCH($I$1,products!$A$1:$G$1,0))</f>
        <v>Rob</v>
      </c>
      <c r="J40" t="str">
        <f>INDEX(products!$A$1:$G$49,MATCH(orders!$D40,products!$A$1:$A$49,0),MATCH($J$1,products!$A$1:$G$1,0))</f>
        <v>M</v>
      </c>
      <c r="K40" s="1">
        <f>INDEX(products!$A$1:$G$49,MATCH(orders!$D40,products!$A$1:$A$49,0),MATCH($K$1,products!$A$1:$G$1,0))</f>
        <v>2.5</v>
      </c>
      <c r="L40">
        <f>INDEX(products!$A$1:$G$49,MATCH(orders!$D40,products!$A$1:$A$49,0),MATCH($L$1,products!$A$1:$G$1,0))</f>
        <v>22.884999999999998</v>
      </c>
      <c r="M40">
        <f t="shared" si="1"/>
        <v>114.42499999999998</v>
      </c>
      <c r="N40" t="str">
        <f t="shared" si="3"/>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_xlfn.XLOOKUP(C41,customers!$A$2:$A$1001,customers!$B$2:$B$1001,0)</f>
        <v>Hy Zanetto</v>
      </c>
      <c r="G41" s="2">
        <f>_xlfn.XLOOKUP(C41,customers!$A$2:$A$1001,customers!$C$2:$C$1001,0)</f>
        <v>0</v>
      </c>
      <c r="H41" s="2" t="str">
        <f>_xlfn.XLOOKUP(orders!C41,customers!$A$2:$A$1001,customers!$G$2:$G$1001,0)</f>
        <v>United States</v>
      </c>
      <c r="I41" t="str">
        <f>INDEX(products!$A$1:$G$49,MATCH(orders!$D41,products!$A$1:$A$49,0),MATCH($I$1,products!$A$1:$G$1,0))</f>
        <v>Rob</v>
      </c>
      <c r="J41" t="str">
        <f>INDEX(products!$A$1:$G$49,MATCH(orders!$D41,products!$A$1:$A$49,0),MATCH($J$1,products!$A$1:$G$1,0))</f>
        <v>M</v>
      </c>
      <c r="K41" s="1">
        <f>INDEX(products!$A$1:$G$49,MATCH(orders!$D41,products!$A$1:$A$49,0),MATCH($K$1,products!$A$1:$G$1,0))</f>
        <v>1</v>
      </c>
      <c r="L41">
        <f>INDEX(products!$A$1:$G$49,MATCH(orders!$D41,products!$A$1:$A$49,0),MATCH($L$1,products!$A$1:$G$1,0))</f>
        <v>9.9499999999999993</v>
      </c>
      <c r="M41">
        <f t="shared" si="1"/>
        <v>59.699999999999996</v>
      </c>
      <c r="N41" t="str">
        <f t="shared" si="3"/>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_xlfn.XLOOKUP(C42,customers!$A$2:$A$1001,customers!$B$2:$B$1001,0)</f>
        <v>Jessica McNess</v>
      </c>
      <c r="G42" s="2">
        <f>_xlfn.XLOOKUP(C42,customers!$A$2:$A$1001,customers!$C$2:$C$1001,0)</f>
        <v>0</v>
      </c>
      <c r="H42" s="2" t="str">
        <f>_xlfn.XLOOKUP(orders!C42,customers!$A$2:$A$1001,customers!$G$2:$G$1001,0)</f>
        <v>United States</v>
      </c>
      <c r="I42" t="str">
        <f>INDEX(products!$A$1:$G$49,MATCH(orders!$D42,products!$A$1:$A$49,0),MATCH($I$1,products!$A$1:$G$1,0))</f>
        <v>Lib</v>
      </c>
      <c r="J42" t="str">
        <f>INDEX(products!$A$1:$G$49,MATCH(orders!$D42,products!$A$1:$A$49,0),MATCH($J$1,products!$A$1:$G$1,0))</f>
        <v>M</v>
      </c>
      <c r="K42" s="1">
        <f>INDEX(products!$A$1:$G$49,MATCH(orders!$D42,products!$A$1:$A$49,0),MATCH($K$1,products!$A$1:$G$1,0))</f>
        <v>1</v>
      </c>
      <c r="L42">
        <f>INDEX(products!$A$1:$G$49,MATCH(orders!$D42,products!$A$1:$A$49,0),MATCH($L$1,products!$A$1:$G$1,0))</f>
        <v>14.55</v>
      </c>
      <c r="M42">
        <f t="shared" si="1"/>
        <v>43.650000000000006</v>
      </c>
      <c r="N42" t="str">
        <f t="shared" si="3"/>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_xlfn.XLOOKUP(C43,customers!$A$2:$A$1001,customers!$B$2:$B$1001,0)</f>
        <v>Lorenzo Yeoland</v>
      </c>
      <c r="G43" s="2" t="str">
        <f>_xlfn.XLOOKUP(C43,customers!$A$2:$A$1001,customers!$C$2:$C$1001,0)</f>
        <v>lyeoland15@pbs.org</v>
      </c>
      <c r="H43" s="2" t="str">
        <f>_xlfn.XLOOKUP(orders!C43,customers!$A$2:$A$1001,customers!$G$2:$G$1001,0)</f>
        <v>United States</v>
      </c>
      <c r="I43" t="str">
        <f>INDEX(products!$A$1:$G$49,MATCH(orders!$D43,products!$A$1:$A$49,0),MATCH($I$1,products!$A$1:$G$1,0))</f>
        <v>Exc</v>
      </c>
      <c r="J43" t="str">
        <f>INDEX(products!$A$1:$G$49,MATCH(orders!$D43,products!$A$1:$A$49,0),MATCH($J$1,products!$A$1:$G$1,0))</f>
        <v>D</v>
      </c>
      <c r="K43" s="1">
        <f>INDEX(products!$A$1:$G$49,MATCH(orders!$D43,products!$A$1:$A$49,0),MATCH($K$1,products!$A$1:$G$1,0))</f>
        <v>0.2</v>
      </c>
      <c r="L43">
        <f>INDEX(products!$A$1:$G$49,MATCH(orders!$D43,products!$A$1:$A$49,0),MATCH($L$1,products!$A$1:$G$1,0))</f>
        <v>3.645</v>
      </c>
      <c r="M43">
        <f t="shared" si="1"/>
        <v>7.29</v>
      </c>
      <c r="N43" t="str">
        <f t="shared" si="3"/>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_xlfn.XLOOKUP(C44,customers!$A$2:$A$1001,customers!$B$2:$B$1001,0)</f>
        <v>Abigail Tolworthy</v>
      </c>
      <c r="G44" s="2" t="str">
        <f>_xlfn.XLOOKUP(C44,customers!$A$2:$A$1001,customers!$C$2:$C$1001,0)</f>
        <v>atolworthy16@toplist.cz</v>
      </c>
      <c r="H44" s="2" t="str">
        <f>_xlfn.XLOOKUP(orders!C44,customers!$A$2:$A$1001,customers!$G$2:$G$1001,0)</f>
        <v>United States</v>
      </c>
      <c r="I44" t="str">
        <f>INDEX(products!$A$1:$G$49,MATCH(orders!$D44,products!$A$1:$A$49,0),MATCH($I$1,products!$A$1:$G$1,0))</f>
        <v>Rob</v>
      </c>
      <c r="J44" t="str">
        <f>INDEX(products!$A$1:$G$49,MATCH(orders!$D44,products!$A$1:$A$49,0),MATCH($J$1,products!$A$1:$G$1,0))</f>
        <v>D</v>
      </c>
      <c r="K44" s="1">
        <f>INDEX(products!$A$1:$G$49,MATCH(orders!$D44,products!$A$1:$A$49,0),MATCH($K$1,products!$A$1:$G$1,0))</f>
        <v>0.2</v>
      </c>
      <c r="L44">
        <f>INDEX(products!$A$1:$G$49,MATCH(orders!$D44,products!$A$1:$A$49,0),MATCH($L$1,products!$A$1:$G$1,0))</f>
        <v>2.6849999999999996</v>
      </c>
      <c r="M44">
        <f t="shared" si="1"/>
        <v>8.0549999999999997</v>
      </c>
      <c r="N44" t="str">
        <f t="shared" si="3"/>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_xlfn.XLOOKUP(C45,customers!$A$2:$A$1001,customers!$B$2:$B$1001,0)</f>
        <v>Maurie Bartol</v>
      </c>
      <c r="G45" s="2">
        <f>_xlfn.XLOOKUP(C45,customers!$A$2:$A$1001,customers!$C$2:$C$1001,0)</f>
        <v>0</v>
      </c>
      <c r="H45" s="2" t="str">
        <f>_xlfn.XLOOKUP(orders!C45,customers!$A$2:$A$1001,customers!$G$2:$G$1001,0)</f>
        <v>United States</v>
      </c>
      <c r="I45" t="str">
        <f>INDEX(products!$A$1:$G$49,MATCH(orders!$D45,products!$A$1:$A$49,0),MATCH($I$1,products!$A$1:$G$1,0))</f>
        <v>Lib</v>
      </c>
      <c r="J45" t="str">
        <f>INDEX(products!$A$1:$G$49,MATCH(orders!$D45,products!$A$1:$A$49,0),MATCH($J$1,products!$A$1:$G$1,0))</f>
        <v>L</v>
      </c>
      <c r="K45" s="1">
        <f>INDEX(products!$A$1:$G$49,MATCH(orders!$D45,products!$A$1:$A$49,0),MATCH($K$1,products!$A$1:$G$1,0))</f>
        <v>2.5</v>
      </c>
      <c r="L45">
        <f>INDEX(products!$A$1:$G$49,MATCH(orders!$D45,products!$A$1:$A$49,0),MATCH($L$1,products!$A$1:$G$1,0))</f>
        <v>36.454999999999998</v>
      </c>
      <c r="M45">
        <f t="shared" si="1"/>
        <v>72.91</v>
      </c>
      <c r="N45" t="str">
        <f t="shared" si="3"/>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_xlfn.XLOOKUP(C46,customers!$A$2:$A$1001,customers!$B$2:$B$1001,0)</f>
        <v>Olag Baudassi</v>
      </c>
      <c r="G46" s="2" t="str">
        <f>_xlfn.XLOOKUP(C46,customers!$A$2:$A$1001,customers!$C$2:$C$1001,0)</f>
        <v>obaudassi18@seesaa.net</v>
      </c>
      <c r="H46" s="2" t="str">
        <f>_xlfn.XLOOKUP(orders!C46,customers!$A$2:$A$1001,customers!$G$2:$G$1001,0)</f>
        <v>United States</v>
      </c>
      <c r="I46" t="str">
        <f>INDEX(products!$A$1:$G$49,MATCH(orders!$D46,products!$A$1:$A$49,0),MATCH($I$1,products!$A$1:$G$1,0))</f>
        <v>Exc</v>
      </c>
      <c r="J46" t="str">
        <f>INDEX(products!$A$1:$G$49,MATCH(orders!$D46,products!$A$1:$A$49,0),MATCH($J$1,products!$A$1:$G$1,0))</f>
        <v>M</v>
      </c>
      <c r="K46" s="1">
        <f>INDEX(products!$A$1:$G$49,MATCH(orders!$D46,products!$A$1:$A$49,0),MATCH($K$1,products!$A$1:$G$1,0))</f>
        <v>0.5</v>
      </c>
      <c r="L46">
        <f>INDEX(products!$A$1:$G$49,MATCH(orders!$D46,products!$A$1:$A$49,0),MATCH($L$1,products!$A$1:$G$1,0))</f>
        <v>8.25</v>
      </c>
      <c r="M46">
        <f t="shared" si="1"/>
        <v>16.5</v>
      </c>
      <c r="N46" t="str">
        <f t="shared" si="3"/>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_xlfn.XLOOKUP(C47,customers!$A$2:$A$1001,customers!$B$2:$B$1001,0)</f>
        <v>Petey Kingsbury</v>
      </c>
      <c r="G47" s="2" t="str">
        <f>_xlfn.XLOOKUP(C47,customers!$A$2:$A$1001,customers!$C$2:$C$1001,0)</f>
        <v>pkingsbury19@comcast.net</v>
      </c>
      <c r="H47" s="2" t="str">
        <f>_xlfn.XLOOKUP(orders!C47,customers!$A$2:$A$1001,customers!$G$2:$G$1001,0)</f>
        <v>United States</v>
      </c>
      <c r="I47" t="str">
        <f>INDEX(products!$A$1:$G$49,MATCH(orders!$D47,products!$A$1:$A$49,0),MATCH($I$1,products!$A$1:$G$1,0))</f>
        <v>Lib</v>
      </c>
      <c r="J47" t="str">
        <f>INDEX(products!$A$1:$G$49,MATCH(orders!$D47,products!$A$1:$A$49,0),MATCH($J$1,products!$A$1:$G$1,0))</f>
        <v>D</v>
      </c>
      <c r="K47" s="1">
        <f>INDEX(products!$A$1:$G$49,MATCH(orders!$D47,products!$A$1:$A$49,0),MATCH($K$1,products!$A$1:$G$1,0))</f>
        <v>2.5</v>
      </c>
      <c r="L47">
        <f>INDEX(products!$A$1:$G$49,MATCH(orders!$D47,products!$A$1:$A$49,0),MATCH($L$1,products!$A$1:$G$1,0))</f>
        <v>29.784999999999997</v>
      </c>
      <c r="M47">
        <f t="shared" si="1"/>
        <v>178.70999999999998</v>
      </c>
      <c r="N47" t="str">
        <f t="shared" si="3"/>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_xlfn.XLOOKUP(C48,customers!$A$2:$A$1001,customers!$B$2:$B$1001,0)</f>
        <v>Donna Baskeyfied</v>
      </c>
      <c r="G48" s="2">
        <f>_xlfn.XLOOKUP(C48,customers!$A$2:$A$1001,customers!$C$2:$C$1001,0)</f>
        <v>0</v>
      </c>
      <c r="H48" s="2" t="str">
        <f>_xlfn.XLOOKUP(orders!C48,customers!$A$2:$A$1001,customers!$G$2:$G$1001,0)</f>
        <v>United States</v>
      </c>
      <c r="I48" t="str">
        <f>INDEX(products!$A$1:$G$49,MATCH(orders!$D48,products!$A$1:$A$49,0),MATCH($I$1,products!$A$1:$G$1,0))</f>
        <v>Exc</v>
      </c>
      <c r="J48" t="str">
        <f>INDEX(products!$A$1:$G$49,MATCH(orders!$D48,products!$A$1:$A$49,0),MATCH($J$1,products!$A$1:$G$1,0))</f>
        <v>M</v>
      </c>
      <c r="K48" s="1">
        <f>INDEX(products!$A$1:$G$49,MATCH(orders!$D48,products!$A$1:$A$49,0),MATCH($K$1,products!$A$1:$G$1,0))</f>
        <v>2.5</v>
      </c>
      <c r="L48">
        <f>INDEX(products!$A$1:$G$49,MATCH(orders!$D48,products!$A$1:$A$49,0),MATCH($L$1,products!$A$1:$G$1,0))</f>
        <v>31.624999999999996</v>
      </c>
      <c r="M48">
        <f t="shared" si="1"/>
        <v>63.249999999999993</v>
      </c>
      <c r="N48" t="str">
        <f t="shared" si="3"/>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_xlfn.XLOOKUP(C49,customers!$A$2:$A$1001,customers!$B$2:$B$1001,0)</f>
        <v>Arda Curley</v>
      </c>
      <c r="G49" s="2" t="str">
        <f>_xlfn.XLOOKUP(C49,customers!$A$2:$A$1001,customers!$C$2:$C$1001,0)</f>
        <v>acurley1b@hao123.com</v>
      </c>
      <c r="H49" s="2" t="str">
        <f>_xlfn.XLOOKUP(orders!C49,customers!$A$2:$A$1001,customers!$G$2:$G$1001,0)</f>
        <v>United States</v>
      </c>
      <c r="I49" t="str">
        <f>INDEX(products!$A$1:$G$49,MATCH(orders!$D49,products!$A$1:$A$49,0),MATCH($I$1,products!$A$1:$G$1,0))</f>
        <v>Ara</v>
      </c>
      <c r="J49" t="str">
        <f>INDEX(products!$A$1:$G$49,MATCH(orders!$D49,products!$A$1:$A$49,0),MATCH($J$1,products!$A$1:$G$1,0))</f>
        <v>L</v>
      </c>
      <c r="K49" s="1">
        <f>INDEX(products!$A$1:$G$49,MATCH(orders!$D49,products!$A$1:$A$49,0),MATCH($K$1,products!$A$1:$G$1,0))</f>
        <v>0.2</v>
      </c>
      <c r="L49">
        <f>INDEX(products!$A$1:$G$49,MATCH(orders!$D49,products!$A$1:$A$49,0),MATCH($L$1,products!$A$1:$G$1,0))</f>
        <v>3.8849999999999998</v>
      </c>
      <c r="M49">
        <f t="shared" si="1"/>
        <v>7.77</v>
      </c>
      <c r="N49" t="str">
        <f t="shared" si="3"/>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_xlfn.XLOOKUP(C50,customers!$A$2:$A$1001,customers!$B$2:$B$1001,0)</f>
        <v>Raynor McGilvary</v>
      </c>
      <c r="G50" s="2" t="str">
        <f>_xlfn.XLOOKUP(C50,customers!$A$2:$A$1001,customers!$C$2:$C$1001,0)</f>
        <v>rmcgilvary1c@tamu.edu</v>
      </c>
      <c r="H50" s="2" t="str">
        <f>_xlfn.XLOOKUP(orders!C50,customers!$A$2:$A$1001,customers!$G$2:$G$1001,0)</f>
        <v>United States</v>
      </c>
      <c r="I50" t="str">
        <f>INDEX(products!$A$1:$G$49,MATCH(orders!$D50,products!$A$1:$A$49,0),MATCH($I$1,products!$A$1:$G$1,0))</f>
        <v>Ara</v>
      </c>
      <c r="J50" t="str">
        <f>INDEX(products!$A$1:$G$49,MATCH(orders!$D50,products!$A$1:$A$49,0),MATCH($J$1,products!$A$1:$G$1,0))</f>
        <v>D</v>
      </c>
      <c r="K50" s="1">
        <f>INDEX(products!$A$1:$G$49,MATCH(orders!$D50,products!$A$1:$A$49,0),MATCH($K$1,products!$A$1:$G$1,0))</f>
        <v>2.5</v>
      </c>
      <c r="L50">
        <f>INDEX(products!$A$1:$G$49,MATCH(orders!$D50,products!$A$1:$A$49,0),MATCH($L$1,products!$A$1:$G$1,0))</f>
        <v>22.884999999999998</v>
      </c>
      <c r="M50">
        <f t="shared" si="1"/>
        <v>91.539999999999992</v>
      </c>
      <c r="N50" t="str">
        <f t="shared" si="3"/>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_xlfn.XLOOKUP(C51,customers!$A$2:$A$1001,customers!$B$2:$B$1001,0)</f>
        <v>Isis Pikett</v>
      </c>
      <c r="G51" s="2" t="str">
        <f>_xlfn.XLOOKUP(C51,customers!$A$2:$A$1001,customers!$C$2:$C$1001,0)</f>
        <v>ipikett1d@xinhuanet.com</v>
      </c>
      <c r="H51" s="2" t="str">
        <f>_xlfn.XLOOKUP(orders!C51,customers!$A$2:$A$1001,customers!$G$2:$G$1001,0)</f>
        <v>United States</v>
      </c>
      <c r="I51" t="str">
        <f>INDEX(products!$A$1:$G$49,MATCH(orders!$D51,products!$A$1:$A$49,0),MATCH($I$1,products!$A$1:$G$1,0))</f>
        <v>Ara</v>
      </c>
      <c r="J51" t="str">
        <f>INDEX(products!$A$1:$G$49,MATCH(orders!$D51,products!$A$1:$A$49,0),MATCH($J$1,products!$A$1:$G$1,0))</f>
        <v>L</v>
      </c>
      <c r="K51" s="1">
        <f>INDEX(products!$A$1:$G$49,MATCH(orders!$D51,products!$A$1:$A$49,0),MATCH($K$1,products!$A$1:$G$1,0))</f>
        <v>1</v>
      </c>
      <c r="L51">
        <f>INDEX(products!$A$1:$G$49,MATCH(orders!$D51,products!$A$1:$A$49,0),MATCH($L$1,products!$A$1:$G$1,0))</f>
        <v>12.95</v>
      </c>
      <c r="M51">
        <f t="shared" si="1"/>
        <v>38.849999999999994</v>
      </c>
      <c r="N51" t="str">
        <f t="shared" si="3"/>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_xlfn.XLOOKUP(C52,customers!$A$2:$A$1001,customers!$B$2:$B$1001,0)</f>
        <v>Inger Bouldon</v>
      </c>
      <c r="G52" s="2" t="str">
        <f>_xlfn.XLOOKUP(C52,customers!$A$2:$A$1001,customers!$C$2:$C$1001,0)</f>
        <v>ibouldon1e@gizmodo.com</v>
      </c>
      <c r="H52" s="2" t="str">
        <f>_xlfn.XLOOKUP(orders!C52,customers!$A$2:$A$1001,customers!$G$2:$G$1001,0)</f>
        <v>United States</v>
      </c>
      <c r="I52" t="str">
        <f>INDEX(products!$A$1:$G$49,MATCH(orders!$D52,products!$A$1:$A$49,0),MATCH($I$1,products!$A$1:$G$1,0))</f>
        <v>Lib</v>
      </c>
      <c r="J52" t="str">
        <f>INDEX(products!$A$1:$G$49,MATCH(orders!$D52,products!$A$1:$A$49,0),MATCH($J$1,products!$A$1:$G$1,0))</f>
        <v>D</v>
      </c>
      <c r="K52" s="1">
        <f>INDEX(products!$A$1:$G$49,MATCH(orders!$D52,products!$A$1:$A$49,0),MATCH($K$1,products!$A$1:$G$1,0))</f>
        <v>0.5</v>
      </c>
      <c r="L52">
        <f>INDEX(products!$A$1:$G$49,MATCH(orders!$D52,products!$A$1:$A$49,0),MATCH($L$1,products!$A$1:$G$1,0))</f>
        <v>7.77</v>
      </c>
      <c r="M52">
        <f t="shared" si="1"/>
        <v>15.54</v>
      </c>
      <c r="N52" t="str">
        <f t="shared" si="3"/>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_xlfn.XLOOKUP(C53,customers!$A$2:$A$1001,customers!$B$2:$B$1001,0)</f>
        <v>Karry Flanders</v>
      </c>
      <c r="G53" s="2" t="str">
        <f>_xlfn.XLOOKUP(C53,customers!$A$2:$A$1001,customers!$C$2:$C$1001,0)</f>
        <v>kflanders1f@over-blog.com</v>
      </c>
      <c r="H53" s="2" t="str">
        <f>_xlfn.XLOOKUP(orders!C53,customers!$A$2:$A$1001,customers!$G$2:$G$1001,0)</f>
        <v>Ireland</v>
      </c>
      <c r="I53" t="str">
        <f>INDEX(products!$A$1:$G$49,MATCH(orders!$D53,products!$A$1:$A$49,0),MATCH($I$1,products!$A$1:$G$1,0))</f>
        <v>Lib</v>
      </c>
      <c r="J53" t="str">
        <f>INDEX(products!$A$1:$G$49,MATCH(orders!$D53,products!$A$1:$A$49,0),MATCH($J$1,products!$A$1:$G$1,0))</f>
        <v>L</v>
      </c>
      <c r="K53" s="1">
        <f>INDEX(products!$A$1:$G$49,MATCH(orders!$D53,products!$A$1:$A$49,0),MATCH($K$1,products!$A$1:$G$1,0))</f>
        <v>2.5</v>
      </c>
      <c r="L53">
        <f>INDEX(products!$A$1:$G$49,MATCH(orders!$D53,products!$A$1:$A$49,0),MATCH($L$1,products!$A$1:$G$1,0))</f>
        <v>36.454999999999998</v>
      </c>
      <c r="M53">
        <f t="shared" si="1"/>
        <v>145.82</v>
      </c>
      <c r="N53" t="str">
        <f t="shared" si="3"/>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_xlfn.XLOOKUP(C54,customers!$A$2:$A$1001,customers!$B$2:$B$1001,0)</f>
        <v>Hartley Mattioli</v>
      </c>
      <c r="G54" s="2" t="str">
        <f>_xlfn.XLOOKUP(C54,customers!$A$2:$A$1001,customers!$C$2:$C$1001,0)</f>
        <v>hmattioli1g@webmd.com</v>
      </c>
      <c r="H54" s="2" t="str">
        <f>_xlfn.XLOOKUP(orders!C54,customers!$A$2:$A$1001,customers!$G$2:$G$1001,0)</f>
        <v>United Kingdom</v>
      </c>
      <c r="I54" t="str">
        <f>INDEX(products!$A$1:$G$49,MATCH(orders!$D54,products!$A$1:$A$49,0),MATCH($I$1,products!$A$1:$G$1,0))</f>
        <v>Rob</v>
      </c>
      <c r="J54" t="str">
        <f>INDEX(products!$A$1:$G$49,MATCH(orders!$D54,products!$A$1:$A$49,0),MATCH($J$1,products!$A$1:$G$1,0))</f>
        <v>M</v>
      </c>
      <c r="K54" s="1">
        <f>INDEX(products!$A$1:$G$49,MATCH(orders!$D54,products!$A$1:$A$49,0),MATCH($K$1,products!$A$1:$G$1,0))</f>
        <v>0.5</v>
      </c>
      <c r="L54">
        <f>INDEX(products!$A$1:$G$49,MATCH(orders!$D54,products!$A$1:$A$49,0),MATCH($L$1,products!$A$1:$G$1,0))</f>
        <v>5.97</v>
      </c>
      <c r="M54">
        <f t="shared" si="1"/>
        <v>29.849999999999998</v>
      </c>
      <c r="N54" t="str">
        <f t="shared" si="3"/>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_xlfn.XLOOKUP(C55,customers!$A$2:$A$1001,customers!$B$2:$B$1001,0)</f>
        <v>Hartley Mattioli</v>
      </c>
      <c r="G55" s="2" t="str">
        <f>_xlfn.XLOOKUP(C55,customers!$A$2:$A$1001,customers!$C$2:$C$1001,0)</f>
        <v>hmattioli1g@webmd.com</v>
      </c>
      <c r="H55" s="2" t="str">
        <f>_xlfn.XLOOKUP(orders!C55,customers!$A$2:$A$1001,customers!$G$2:$G$1001,0)</f>
        <v>United Kingdom</v>
      </c>
      <c r="I55" t="str">
        <f>INDEX(products!$A$1:$G$49,MATCH(orders!$D55,products!$A$1:$A$49,0),MATCH($I$1,products!$A$1:$G$1,0))</f>
        <v>Lib</v>
      </c>
      <c r="J55" t="str">
        <f>INDEX(products!$A$1:$G$49,MATCH(orders!$D55,products!$A$1:$A$49,0),MATCH($J$1,products!$A$1:$G$1,0))</f>
        <v>L</v>
      </c>
      <c r="K55" s="1">
        <f>INDEX(products!$A$1:$G$49,MATCH(orders!$D55,products!$A$1:$A$49,0),MATCH($K$1,products!$A$1:$G$1,0))</f>
        <v>2.5</v>
      </c>
      <c r="L55">
        <f>INDEX(products!$A$1:$G$49,MATCH(orders!$D55,products!$A$1:$A$49,0),MATCH($L$1,products!$A$1:$G$1,0))</f>
        <v>36.454999999999998</v>
      </c>
      <c r="M55">
        <f t="shared" si="1"/>
        <v>72.91</v>
      </c>
      <c r="N55" t="str">
        <f t="shared" si="3"/>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_xlfn.XLOOKUP(C56,customers!$A$2:$A$1001,customers!$B$2:$B$1001,0)</f>
        <v>Archambault Gillard</v>
      </c>
      <c r="G56" s="2" t="str">
        <f>_xlfn.XLOOKUP(C56,customers!$A$2:$A$1001,customers!$C$2:$C$1001,0)</f>
        <v>agillard1i@issuu.com</v>
      </c>
      <c r="H56" s="2" t="str">
        <f>_xlfn.XLOOKUP(orders!C56,customers!$A$2:$A$1001,customers!$G$2:$G$1001,0)</f>
        <v>United States</v>
      </c>
      <c r="I56" t="str">
        <f>INDEX(products!$A$1:$G$49,MATCH(orders!$D56,products!$A$1:$A$49,0),MATCH($I$1,products!$A$1:$G$1,0))</f>
        <v>Lib</v>
      </c>
      <c r="J56" t="str">
        <f>INDEX(products!$A$1:$G$49,MATCH(orders!$D56,products!$A$1:$A$49,0),MATCH($J$1,products!$A$1:$G$1,0))</f>
        <v>M</v>
      </c>
      <c r="K56" s="1">
        <f>INDEX(products!$A$1:$G$49,MATCH(orders!$D56,products!$A$1:$A$49,0),MATCH($K$1,products!$A$1:$G$1,0))</f>
        <v>1</v>
      </c>
      <c r="L56">
        <f>INDEX(products!$A$1:$G$49,MATCH(orders!$D56,products!$A$1:$A$49,0),MATCH($L$1,products!$A$1:$G$1,0))</f>
        <v>14.55</v>
      </c>
      <c r="M56">
        <f t="shared" si="1"/>
        <v>72.75</v>
      </c>
      <c r="N56" t="str">
        <f t="shared" si="3"/>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_xlfn.XLOOKUP(C57,customers!$A$2:$A$1001,customers!$B$2:$B$1001,0)</f>
        <v>Salomo Cushworth</v>
      </c>
      <c r="G57" s="2">
        <f>_xlfn.XLOOKUP(C57,customers!$A$2:$A$1001,customers!$C$2:$C$1001,0)</f>
        <v>0</v>
      </c>
      <c r="H57" s="2" t="str">
        <f>_xlfn.XLOOKUP(orders!C57,customers!$A$2:$A$1001,customers!$G$2:$G$1001,0)</f>
        <v>United States</v>
      </c>
      <c r="I57" t="str">
        <f>INDEX(products!$A$1:$G$49,MATCH(orders!$D57,products!$A$1:$A$49,0),MATCH($I$1,products!$A$1:$G$1,0))</f>
        <v>Lib</v>
      </c>
      <c r="J57" t="str">
        <f>INDEX(products!$A$1:$G$49,MATCH(orders!$D57,products!$A$1:$A$49,0),MATCH($J$1,products!$A$1:$G$1,0))</f>
        <v>L</v>
      </c>
      <c r="K57" s="1">
        <f>INDEX(products!$A$1:$G$49,MATCH(orders!$D57,products!$A$1:$A$49,0),MATCH($K$1,products!$A$1:$G$1,0))</f>
        <v>1</v>
      </c>
      <c r="L57">
        <f>INDEX(products!$A$1:$G$49,MATCH(orders!$D57,products!$A$1:$A$49,0),MATCH($L$1,products!$A$1:$G$1,0))</f>
        <v>15.85</v>
      </c>
      <c r="M57">
        <f t="shared" si="1"/>
        <v>47.55</v>
      </c>
      <c r="N57" t="str">
        <f t="shared" si="3"/>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_xlfn.XLOOKUP(C58,customers!$A$2:$A$1001,customers!$B$2:$B$1001,0)</f>
        <v>Theda Grizard</v>
      </c>
      <c r="G58" s="2" t="str">
        <f>_xlfn.XLOOKUP(C58,customers!$A$2:$A$1001,customers!$C$2:$C$1001,0)</f>
        <v>tgrizard1k@odnoklassniki.ru</v>
      </c>
      <c r="H58" s="2" t="str">
        <f>_xlfn.XLOOKUP(orders!C58,customers!$A$2:$A$1001,customers!$G$2:$G$1001,0)</f>
        <v>United States</v>
      </c>
      <c r="I58" t="str">
        <f>INDEX(products!$A$1:$G$49,MATCH(orders!$D58,products!$A$1:$A$49,0),MATCH($I$1,products!$A$1:$G$1,0))</f>
        <v>Exc</v>
      </c>
      <c r="J58" t="str">
        <f>INDEX(products!$A$1:$G$49,MATCH(orders!$D58,products!$A$1:$A$49,0),MATCH($J$1,products!$A$1:$G$1,0))</f>
        <v>D</v>
      </c>
      <c r="K58" s="1">
        <f>INDEX(products!$A$1:$G$49,MATCH(orders!$D58,products!$A$1:$A$49,0),MATCH($K$1,products!$A$1:$G$1,0))</f>
        <v>0.2</v>
      </c>
      <c r="L58">
        <f>INDEX(products!$A$1:$G$49,MATCH(orders!$D58,products!$A$1:$A$49,0),MATCH($L$1,products!$A$1:$G$1,0))</f>
        <v>3.645</v>
      </c>
      <c r="M58">
        <f t="shared" si="1"/>
        <v>10.935</v>
      </c>
      <c r="N58" t="str">
        <f t="shared" si="3"/>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_xlfn.XLOOKUP(C59,customers!$A$2:$A$1001,customers!$B$2:$B$1001,0)</f>
        <v>Rozele Relton</v>
      </c>
      <c r="G59" s="2" t="str">
        <f>_xlfn.XLOOKUP(C59,customers!$A$2:$A$1001,customers!$C$2:$C$1001,0)</f>
        <v>rrelton1l@stanford.edu</v>
      </c>
      <c r="H59" s="2" t="str">
        <f>_xlfn.XLOOKUP(orders!C59,customers!$A$2:$A$1001,customers!$G$2:$G$1001,0)</f>
        <v>United States</v>
      </c>
      <c r="I59" t="str">
        <f>INDEX(products!$A$1:$G$49,MATCH(orders!$D59,products!$A$1:$A$49,0),MATCH($I$1,products!$A$1:$G$1,0))</f>
        <v>Exc</v>
      </c>
      <c r="J59" t="str">
        <f>INDEX(products!$A$1:$G$49,MATCH(orders!$D59,products!$A$1:$A$49,0),MATCH($J$1,products!$A$1:$G$1,0))</f>
        <v>L</v>
      </c>
      <c r="K59" s="1">
        <f>INDEX(products!$A$1:$G$49,MATCH(orders!$D59,products!$A$1:$A$49,0),MATCH($K$1,products!$A$1:$G$1,0))</f>
        <v>1</v>
      </c>
      <c r="L59">
        <f>INDEX(products!$A$1:$G$49,MATCH(orders!$D59,products!$A$1:$A$49,0),MATCH($L$1,products!$A$1:$G$1,0))</f>
        <v>14.85</v>
      </c>
      <c r="M59">
        <f t="shared" si="1"/>
        <v>59.4</v>
      </c>
      <c r="N59" t="str">
        <f t="shared" si="3"/>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_xlfn.XLOOKUP(C60,customers!$A$2:$A$1001,customers!$B$2:$B$1001,0)</f>
        <v>Willa Rolling</v>
      </c>
      <c r="G60" s="2">
        <f>_xlfn.XLOOKUP(C60,customers!$A$2:$A$1001,customers!$C$2:$C$1001,0)</f>
        <v>0</v>
      </c>
      <c r="H60" s="2" t="str">
        <f>_xlfn.XLOOKUP(orders!C60,customers!$A$2:$A$1001,customers!$G$2:$G$1001,0)</f>
        <v>United States</v>
      </c>
      <c r="I60" t="str">
        <f>INDEX(products!$A$1:$G$49,MATCH(orders!$D60,products!$A$1:$A$49,0),MATCH($I$1,products!$A$1:$G$1,0))</f>
        <v>Lib</v>
      </c>
      <c r="J60" t="str">
        <f>INDEX(products!$A$1:$G$49,MATCH(orders!$D60,products!$A$1:$A$49,0),MATCH($J$1,products!$A$1:$G$1,0))</f>
        <v>D</v>
      </c>
      <c r="K60" s="1">
        <f>INDEX(products!$A$1:$G$49,MATCH(orders!$D60,products!$A$1:$A$49,0),MATCH($K$1,products!$A$1:$G$1,0))</f>
        <v>2.5</v>
      </c>
      <c r="L60">
        <f>INDEX(products!$A$1:$G$49,MATCH(orders!$D60,products!$A$1:$A$49,0),MATCH($L$1,products!$A$1:$G$1,0))</f>
        <v>29.784999999999997</v>
      </c>
      <c r="M60">
        <f t="shared" si="1"/>
        <v>89.35499999999999</v>
      </c>
      <c r="N60" t="str">
        <f t="shared" si="3"/>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_xlfn.XLOOKUP(C61,customers!$A$2:$A$1001,customers!$B$2:$B$1001,0)</f>
        <v>Stanislaus Gilroy</v>
      </c>
      <c r="G61" s="2" t="str">
        <f>_xlfn.XLOOKUP(C61,customers!$A$2:$A$1001,customers!$C$2:$C$1001,0)</f>
        <v>sgilroy1n@eepurl.com</v>
      </c>
      <c r="H61" s="2" t="str">
        <f>_xlfn.XLOOKUP(orders!C61,customers!$A$2:$A$1001,customers!$G$2:$G$1001,0)</f>
        <v>United States</v>
      </c>
      <c r="I61" t="str">
        <f>INDEX(products!$A$1:$G$49,MATCH(orders!$D61,products!$A$1:$A$49,0),MATCH($I$1,products!$A$1:$G$1,0))</f>
        <v>Lib</v>
      </c>
      <c r="J61" t="str">
        <f>INDEX(products!$A$1:$G$49,MATCH(orders!$D61,products!$A$1:$A$49,0),MATCH($J$1,products!$A$1:$G$1,0))</f>
        <v>M</v>
      </c>
      <c r="K61" s="1">
        <f>INDEX(products!$A$1:$G$49,MATCH(orders!$D61,products!$A$1:$A$49,0),MATCH($K$1,products!$A$1:$G$1,0))</f>
        <v>0.5</v>
      </c>
      <c r="L61">
        <f>INDEX(products!$A$1:$G$49,MATCH(orders!$D61,products!$A$1:$A$49,0),MATCH($L$1,products!$A$1:$G$1,0))</f>
        <v>8.73</v>
      </c>
      <c r="M61">
        <f t="shared" si="1"/>
        <v>26.19</v>
      </c>
      <c r="N61" t="str">
        <f t="shared" si="3"/>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_xlfn.XLOOKUP(C62,customers!$A$2:$A$1001,customers!$B$2:$B$1001,0)</f>
        <v>Correy Cottingham</v>
      </c>
      <c r="G62" s="2" t="str">
        <f>_xlfn.XLOOKUP(C62,customers!$A$2:$A$1001,customers!$C$2:$C$1001,0)</f>
        <v>ccottingham1o@wikipedia.org</v>
      </c>
      <c r="H62" s="2" t="str">
        <f>_xlfn.XLOOKUP(orders!C62,customers!$A$2:$A$1001,customers!$G$2:$G$1001,0)</f>
        <v>United States</v>
      </c>
      <c r="I62" t="str">
        <f>INDEX(products!$A$1:$G$49,MATCH(orders!$D62,products!$A$1:$A$49,0),MATCH($I$1,products!$A$1:$G$1,0))</f>
        <v>Ara</v>
      </c>
      <c r="J62" t="str">
        <f>INDEX(products!$A$1:$G$49,MATCH(orders!$D62,products!$A$1:$A$49,0),MATCH($J$1,products!$A$1:$G$1,0))</f>
        <v>D</v>
      </c>
      <c r="K62" s="1">
        <f>INDEX(products!$A$1:$G$49,MATCH(orders!$D62,products!$A$1:$A$49,0),MATCH($K$1,products!$A$1:$G$1,0))</f>
        <v>2.5</v>
      </c>
      <c r="L62">
        <f>INDEX(products!$A$1:$G$49,MATCH(orders!$D62,products!$A$1:$A$49,0),MATCH($L$1,products!$A$1:$G$1,0))</f>
        <v>22.884999999999998</v>
      </c>
      <c r="M62">
        <f t="shared" si="1"/>
        <v>114.42499999999998</v>
      </c>
      <c r="N62" t="str">
        <f t="shared" si="3"/>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_xlfn.XLOOKUP(C63,customers!$A$2:$A$1001,customers!$B$2:$B$1001,0)</f>
        <v>Pammi Endacott</v>
      </c>
      <c r="G63" s="2">
        <f>_xlfn.XLOOKUP(C63,customers!$A$2:$A$1001,customers!$C$2:$C$1001,0)</f>
        <v>0</v>
      </c>
      <c r="H63" s="2" t="str">
        <f>_xlfn.XLOOKUP(orders!C63,customers!$A$2:$A$1001,customers!$G$2:$G$1001,0)</f>
        <v>United Kingdom</v>
      </c>
      <c r="I63" t="str">
        <f>INDEX(products!$A$1:$G$49,MATCH(orders!$D63,products!$A$1:$A$49,0),MATCH($I$1,products!$A$1:$G$1,0))</f>
        <v>Rob</v>
      </c>
      <c r="J63" t="str">
        <f>INDEX(products!$A$1:$G$49,MATCH(orders!$D63,products!$A$1:$A$49,0),MATCH($J$1,products!$A$1:$G$1,0))</f>
        <v>D</v>
      </c>
      <c r="K63" s="1">
        <f>INDEX(products!$A$1:$G$49,MATCH(orders!$D63,products!$A$1:$A$49,0),MATCH($K$1,products!$A$1:$G$1,0))</f>
        <v>0.5</v>
      </c>
      <c r="L63">
        <f>INDEX(products!$A$1:$G$49,MATCH(orders!$D63,products!$A$1:$A$49,0),MATCH($L$1,products!$A$1:$G$1,0))</f>
        <v>5.3699999999999992</v>
      </c>
      <c r="M63">
        <f t="shared" si="1"/>
        <v>26.849999999999994</v>
      </c>
      <c r="N63" t="str">
        <f t="shared" si="3"/>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_xlfn.XLOOKUP(C64,customers!$A$2:$A$1001,customers!$B$2:$B$1001,0)</f>
        <v>Nona Linklater</v>
      </c>
      <c r="G64" s="2">
        <f>_xlfn.XLOOKUP(C64,customers!$A$2:$A$1001,customers!$C$2:$C$1001,0)</f>
        <v>0</v>
      </c>
      <c r="H64" s="2" t="str">
        <f>_xlfn.XLOOKUP(orders!C64,customers!$A$2:$A$1001,customers!$G$2:$G$1001,0)</f>
        <v>United States</v>
      </c>
      <c r="I64" t="str">
        <f>INDEX(products!$A$1:$G$49,MATCH(orders!$D64,products!$A$1:$A$49,0),MATCH($I$1,products!$A$1:$G$1,0))</f>
        <v>Lib</v>
      </c>
      <c r="J64" t="str">
        <f>INDEX(products!$A$1:$G$49,MATCH(orders!$D64,products!$A$1:$A$49,0),MATCH($J$1,products!$A$1:$G$1,0))</f>
        <v>L</v>
      </c>
      <c r="K64" s="1">
        <f>INDEX(products!$A$1:$G$49,MATCH(orders!$D64,products!$A$1:$A$49,0),MATCH($K$1,products!$A$1:$G$1,0))</f>
        <v>0.2</v>
      </c>
      <c r="L64">
        <f>INDEX(products!$A$1:$G$49,MATCH(orders!$D64,products!$A$1:$A$49,0),MATCH($L$1,products!$A$1:$G$1,0))</f>
        <v>4.7549999999999999</v>
      </c>
      <c r="M64">
        <f t="shared" si="1"/>
        <v>23.774999999999999</v>
      </c>
      <c r="N64" t="str">
        <f t="shared" si="3"/>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_xlfn.XLOOKUP(C65,customers!$A$2:$A$1001,customers!$B$2:$B$1001,0)</f>
        <v>Annadiane Dykes</v>
      </c>
      <c r="G65" s="2" t="str">
        <f>_xlfn.XLOOKUP(C65,customers!$A$2:$A$1001,customers!$C$2:$C$1001,0)</f>
        <v>adykes1r@eventbrite.com</v>
      </c>
      <c r="H65" s="2" t="str">
        <f>_xlfn.XLOOKUP(orders!C65,customers!$A$2:$A$1001,customers!$G$2:$G$1001,0)</f>
        <v>United States</v>
      </c>
      <c r="I65" t="str">
        <f>INDEX(products!$A$1:$G$49,MATCH(orders!$D65,products!$A$1:$A$49,0),MATCH($I$1,products!$A$1:$G$1,0))</f>
        <v>Ara</v>
      </c>
      <c r="J65" t="str">
        <f>INDEX(products!$A$1:$G$49,MATCH(orders!$D65,products!$A$1:$A$49,0),MATCH($J$1,products!$A$1:$G$1,0))</f>
        <v>M</v>
      </c>
      <c r="K65" s="1">
        <f>INDEX(products!$A$1:$G$49,MATCH(orders!$D65,products!$A$1:$A$49,0),MATCH($K$1,products!$A$1:$G$1,0))</f>
        <v>0.5</v>
      </c>
      <c r="L65">
        <f>INDEX(products!$A$1:$G$49,MATCH(orders!$D65,products!$A$1:$A$49,0),MATCH($L$1,products!$A$1:$G$1,0))</f>
        <v>6.75</v>
      </c>
      <c r="M65">
        <f t="shared" si="1"/>
        <v>6.75</v>
      </c>
      <c r="N65" t="str">
        <f t="shared" si="3"/>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_xlfn.XLOOKUP(C66,customers!$A$2:$A$1001,customers!$B$2:$B$1001,0)</f>
        <v>Felecia Dodgson</v>
      </c>
      <c r="G66" s="2">
        <f>_xlfn.XLOOKUP(C66,customers!$A$2:$A$1001,customers!$C$2:$C$1001,0)</f>
        <v>0</v>
      </c>
      <c r="H66" s="2" t="str">
        <f>_xlfn.XLOOKUP(orders!C66,customers!$A$2:$A$1001,customers!$G$2:$G$1001,0)</f>
        <v>United States</v>
      </c>
      <c r="I66" t="str">
        <f>INDEX(products!$A$1:$G$49,MATCH(orders!$D66,products!$A$1:$A$49,0),MATCH($I$1,products!$A$1:$G$1,0))</f>
        <v>Rob</v>
      </c>
      <c r="J66" t="str">
        <f>INDEX(products!$A$1:$G$49,MATCH(orders!$D66,products!$A$1:$A$49,0),MATCH($J$1,products!$A$1:$G$1,0))</f>
        <v>M</v>
      </c>
      <c r="K66" s="1">
        <f>INDEX(products!$A$1:$G$49,MATCH(orders!$D66,products!$A$1:$A$49,0),MATCH($K$1,products!$A$1:$G$1,0))</f>
        <v>0.5</v>
      </c>
      <c r="L66">
        <f>INDEX(products!$A$1:$G$49,MATCH(orders!$D66,products!$A$1:$A$49,0),MATCH($L$1,products!$A$1:$G$1,0))</f>
        <v>5.97</v>
      </c>
      <c r="M66">
        <f t="shared" si="1"/>
        <v>35.82</v>
      </c>
      <c r="N66" t="str">
        <f t="shared" si="3"/>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_xlfn.XLOOKUP(C67,customers!$A$2:$A$1001,customers!$B$2:$B$1001,0)</f>
        <v>Angelia Cockrem</v>
      </c>
      <c r="G67" s="2" t="str">
        <f>_xlfn.XLOOKUP(C67,customers!$A$2:$A$1001,customers!$C$2:$C$1001,0)</f>
        <v>acockrem1t@engadget.com</v>
      </c>
      <c r="H67" s="2" t="str">
        <f>_xlfn.XLOOKUP(orders!C67,customers!$A$2:$A$1001,customers!$G$2:$G$1001,0)</f>
        <v>United States</v>
      </c>
      <c r="I67" t="str">
        <f>INDEX(products!$A$1:$G$49,MATCH(orders!$D67,products!$A$1:$A$49,0),MATCH($I$1,products!$A$1:$G$1,0))</f>
        <v>Rob</v>
      </c>
      <c r="J67" t="str">
        <f>INDEX(products!$A$1:$G$49,MATCH(orders!$D67,products!$A$1:$A$49,0),MATCH($J$1,products!$A$1:$G$1,0))</f>
        <v>D</v>
      </c>
      <c r="K67" s="1">
        <f>INDEX(products!$A$1:$G$49,MATCH(orders!$D67,products!$A$1:$A$49,0),MATCH($K$1,products!$A$1:$G$1,0))</f>
        <v>2.5</v>
      </c>
      <c r="L67">
        <f>INDEX(products!$A$1:$G$49,MATCH(orders!$D67,products!$A$1:$A$49,0),MATCH($L$1,products!$A$1:$G$1,0))</f>
        <v>20.584999999999997</v>
      </c>
      <c r="M67">
        <f t="shared" ref="M67:M130" si="4">L67*E67</f>
        <v>82.339999999999989</v>
      </c>
      <c r="N67" t="str">
        <f t="shared" ref="N67:N130" si="5">IF(I67="Rob","Robusta",IF(I67="Exc","Excelsa",IF(I67="Ara","Arabica",IF(I67="Lib","Liberica",""))))</f>
        <v>Robusta</v>
      </c>
      <c r="O67" t="str">
        <f t="shared" ref="O67:O130" si="6">IF(J67="M", "Medium", IF(J67="L","Light", IF(J67="D", "Dark","")))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_xlfn.XLOOKUP(C68,customers!$A$2:$A$1001,customers!$B$2:$B$1001,0)</f>
        <v>Belvia Umpleby</v>
      </c>
      <c r="G68" s="2" t="str">
        <f>_xlfn.XLOOKUP(C68,customers!$A$2:$A$1001,customers!$C$2:$C$1001,0)</f>
        <v>bumpleby1u@soundcloud.com</v>
      </c>
      <c r="H68" s="2" t="str">
        <f>_xlfn.XLOOKUP(orders!C68,customers!$A$2:$A$1001,customers!$G$2:$G$1001,0)</f>
        <v>United States</v>
      </c>
      <c r="I68" t="str">
        <f>INDEX(products!$A$1:$G$49,MATCH(orders!$D68,products!$A$1:$A$49,0),MATCH($I$1,products!$A$1:$G$1,0))</f>
        <v>Rob</v>
      </c>
      <c r="J68" t="str">
        <f>INDEX(products!$A$1:$G$49,MATCH(orders!$D68,products!$A$1:$A$49,0),MATCH($J$1,products!$A$1:$G$1,0))</f>
        <v>L</v>
      </c>
      <c r="K68" s="1">
        <f>INDEX(products!$A$1:$G$49,MATCH(orders!$D68,products!$A$1:$A$49,0),MATCH($K$1,products!$A$1:$G$1,0))</f>
        <v>0.5</v>
      </c>
      <c r="L68">
        <f>INDEX(products!$A$1:$G$49,MATCH(orders!$D68,products!$A$1:$A$49,0),MATCH($L$1,products!$A$1:$G$1,0))</f>
        <v>7.169999999999999</v>
      </c>
      <c r="M68">
        <f t="shared" si="4"/>
        <v>7.169999999999999</v>
      </c>
      <c r="N68" t="str">
        <f t="shared" si="5"/>
        <v>Robusta</v>
      </c>
      <c r="O68" t="str">
        <f t="shared" si="6"/>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_xlfn.XLOOKUP(C69,customers!$A$2:$A$1001,customers!$B$2:$B$1001,0)</f>
        <v>Nat Saleway</v>
      </c>
      <c r="G69" s="2" t="str">
        <f>_xlfn.XLOOKUP(C69,customers!$A$2:$A$1001,customers!$C$2:$C$1001,0)</f>
        <v>nsaleway1v@dedecms.com</v>
      </c>
      <c r="H69" s="2" t="str">
        <f>_xlfn.XLOOKUP(orders!C69,customers!$A$2:$A$1001,customers!$G$2:$G$1001,0)</f>
        <v>United States</v>
      </c>
      <c r="I69" t="str">
        <f>INDEX(products!$A$1:$G$49,MATCH(orders!$D69,products!$A$1:$A$49,0),MATCH($I$1,products!$A$1:$G$1,0))</f>
        <v>Lib</v>
      </c>
      <c r="J69" t="str">
        <f>INDEX(products!$A$1:$G$49,MATCH(orders!$D69,products!$A$1:$A$49,0),MATCH($J$1,products!$A$1:$G$1,0))</f>
        <v>L</v>
      </c>
      <c r="K69" s="1">
        <f>INDEX(products!$A$1:$G$49,MATCH(orders!$D69,products!$A$1:$A$49,0),MATCH($K$1,products!$A$1:$G$1,0))</f>
        <v>0.2</v>
      </c>
      <c r="L69">
        <f>INDEX(products!$A$1:$G$49,MATCH(orders!$D69,products!$A$1:$A$49,0),MATCH($L$1,products!$A$1:$G$1,0))</f>
        <v>4.7549999999999999</v>
      </c>
      <c r="M69">
        <f t="shared" si="4"/>
        <v>9.51</v>
      </c>
      <c r="N69" t="str">
        <f t="shared" si="5"/>
        <v>Liberica</v>
      </c>
      <c r="O69" t="str">
        <f t="shared" si="6"/>
        <v>Light</v>
      </c>
      <c r="P69" t="str">
        <f>_xlfn.XLOOKUP(Orders[[#This Row],[Customer ID]],customers!$A$1:$A$1001,customers!$I$1:$I$1001,0)</f>
        <v>No</v>
      </c>
    </row>
    <row r="70" spans="1:16" x14ac:dyDescent="0.3">
      <c r="A70" s="2" t="s">
        <v>872</v>
      </c>
      <c r="B70" s="3">
        <v>43754</v>
      </c>
      <c r="C70" s="2" t="s">
        <v>873</v>
      </c>
      <c r="D70" t="s">
        <v>6174</v>
      </c>
      <c r="E70" s="2">
        <v>1</v>
      </c>
      <c r="F70" s="2" t="str">
        <f>_xlfn.XLOOKUP(C70,customers!$A$2:$A$1001,customers!$B$2:$B$1001,0)</f>
        <v>Hayward Goulter</v>
      </c>
      <c r="G70" s="2" t="str">
        <f>_xlfn.XLOOKUP(C70,customers!$A$2:$A$1001,customers!$C$2:$C$1001,0)</f>
        <v>hgoulter1w@abc.net.au</v>
      </c>
      <c r="H70" s="2" t="str">
        <f>_xlfn.XLOOKUP(orders!C70,customers!$A$2:$A$1001,customers!$G$2:$G$1001,0)</f>
        <v>United States</v>
      </c>
      <c r="I70" t="str">
        <f>INDEX(products!$A$1:$G$49,MATCH(orders!$D70,products!$A$1:$A$49,0),MATCH($I$1,products!$A$1:$G$1,0))</f>
        <v>Rob</v>
      </c>
      <c r="J70" t="str">
        <f>INDEX(products!$A$1:$G$49,MATCH(orders!$D70,products!$A$1:$A$49,0),MATCH($J$1,products!$A$1:$G$1,0))</f>
        <v>M</v>
      </c>
      <c r="K70" s="1">
        <f>INDEX(products!$A$1:$G$49,MATCH(orders!$D70,products!$A$1:$A$49,0),MATCH($K$1,products!$A$1:$G$1,0))</f>
        <v>0.2</v>
      </c>
      <c r="L70">
        <f>INDEX(products!$A$1:$G$49,MATCH(orders!$D70,products!$A$1:$A$49,0),MATCH($L$1,products!$A$1:$G$1,0))</f>
        <v>2.9849999999999999</v>
      </c>
      <c r="M70">
        <f t="shared" si="4"/>
        <v>2.9849999999999999</v>
      </c>
      <c r="N70" t="str">
        <f t="shared" si="5"/>
        <v>Robusta</v>
      </c>
      <c r="O70" t="str">
        <f t="shared" si="6"/>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_xlfn.XLOOKUP(C71,customers!$A$2:$A$1001,customers!$B$2:$B$1001,0)</f>
        <v>Gay Rizzello</v>
      </c>
      <c r="G71" s="2" t="str">
        <f>_xlfn.XLOOKUP(C71,customers!$A$2:$A$1001,customers!$C$2:$C$1001,0)</f>
        <v>grizzello1x@symantec.com</v>
      </c>
      <c r="H71" s="2" t="str">
        <f>_xlfn.XLOOKUP(orders!C71,customers!$A$2:$A$1001,customers!$G$2:$G$1001,0)</f>
        <v>United Kingdom</v>
      </c>
      <c r="I71" t="str">
        <f>INDEX(products!$A$1:$G$49,MATCH(orders!$D71,products!$A$1:$A$49,0),MATCH($I$1,products!$A$1:$G$1,0))</f>
        <v>Rob</v>
      </c>
      <c r="J71" t="str">
        <f>INDEX(products!$A$1:$G$49,MATCH(orders!$D71,products!$A$1:$A$49,0),MATCH($J$1,products!$A$1:$G$1,0))</f>
        <v>M</v>
      </c>
      <c r="K71" s="1">
        <f>INDEX(products!$A$1:$G$49,MATCH(orders!$D71,products!$A$1:$A$49,0),MATCH($K$1,products!$A$1:$G$1,0))</f>
        <v>1</v>
      </c>
      <c r="L71">
        <f>INDEX(products!$A$1:$G$49,MATCH(orders!$D71,products!$A$1:$A$49,0),MATCH($L$1,products!$A$1:$G$1,0))</f>
        <v>9.9499999999999993</v>
      </c>
      <c r="M71">
        <f t="shared" si="4"/>
        <v>59.699999999999996</v>
      </c>
      <c r="N71" t="str">
        <f t="shared" si="5"/>
        <v>Robusta</v>
      </c>
      <c r="O71" t="str">
        <f t="shared" si="6"/>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_xlfn.XLOOKUP(C72,customers!$A$2:$A$1001,customers!$B$2:$B$1001,0)</f>
        <v>Shannon List</v>
      </c>
      <c r="G72" s="2" t="str">
        <f>_xlfn.XLOOKUP(C72,customers!$A$2:$A$1001,customers!$C$2:$C$1001,0)</f>
        <v>slist1y@mapquest.com</v>
      </c>
      <c r="H72" s="2" t="str">
        <f>_xlfn.XLOOKUP(orders!C72,customers!$A$2:$A$1001,customers!$G$2:$G$1001,0)</f>
        <v>United States</v>
      </c>
      <c r="I72" t="str">
        <f>INDEX(products!$A$1:$G$49,MATCH(orders!$D72,products!$A$1:$A$49,0),MATCH($I$1,products!$A$1:$G$1,0))</f>
        <v>Exc</v>
      </c>
      <c r="J72" t="str">
        <f>INDEX(products!$A$1:$G$49,MATCH(orders!$D72,products!$A$1:$A$49,0),MATCH($J$1,products!$A$1:$G$1,0))</f>
        <v>L</v>
      </c>
      <c r="K72" s="1">
        <f>INDEX(products!$A$1:$G$49,MATCH(orders!$D72,products!$A$1:$A$49,0),MATCH($K$1,products!$A$1:$G$1,0))</f>
        <v>2.5</v>
      </c>
      <c r="L72">
        <f>INDEX(products!$A$1:$G$49,MATCH(orders!$D72,products!$A$1:$A$49,0),MATCH($L$1,products!$A$1:$G$1,0))</f>
        <v>34.154999999999994</v>
      </c>
      <c r="M72">
        <f t="shared" si="4"/>
        <v>136.61999999999998</v>
      </c>
      <c r="N72" t="str">
        <f t="shared" si="5"/>
        <v>Excelsa</v>
      </c>
      <c r="O72" t="str">
        <f t="shared" si="6"/>
        <v>Light</v>
      </c>
      <c r="P72" t="str">
        <f>_xlfn.XLOOKUP(Orders[[#This Row],[Customer ID]],customers!$A$1:$A$1001,customers!$I$1:$I$1001,0)</f>
        <v>No</v>
      </c>
    </row>
    <row r="73" spans="1:16" x14ac:dyDescent="0.3">
      <c r="A73" s="2" t="s">
        <v>891</v>
      </c>
      <c r="B73" s="3">
        <v>44200</v>
      </c>
      <c r="C73" s="2" t="s">
        <v>892</v>
      </c>
      <c r="D73" t="s">
        <v>6145</v>
      </c>
      <c r="E73" s="2">
        <v>2</v>
      </c>
      <c r="F73" s="2" t="str">
        <f>_xlfn.XLOOKUP(C73,customers!$A$2:$A$1001,customers!$B$2:$B$1001,0)</f>
        <v>Shirlene Edmondson</v>
      </c>
      <c r="G73" s="2" t="str">
        <f>_xlfn.XLOOKUP(C73,customers!$A$2:$A$1001,customers!$C$2:$C$1001,0)</f>
        <v>sedmondson1z@theguardian.com</v>
      </c>
      <c r="H73" s="2" t="str">
        <f>_xlfn.XLOOKUP(orders!C73,customers!$A$2:$A$1001,customers!$G$2:$G$1001,0)</f>
        <v>Ireland</v>
      </c>
      <c r="I73" t="str">
        <f>INDEX(products!$A$1:$G$49,MATCH(orders!$D73,products!$A$1:$A$49,0),MATCH($I$1,products!$A$1:$G$1,0))</f>
        <v>Lib</v>
      </c>
      <c r="J73" t="str">
        <f>INDEX(products!$A$1:$G$49,MATCH(orders!$D73,products!$A$1:$A$49,0),MATCH($J$1,products!$A$1:$G$1,0))</f>
        <v>L</v>
      </c>
      <c r="K73" s="1">
        <f>INDEX(products!$A$1:$G$49,MATCH(orders!$D73,products!$A$1:$A$49,0),MATCH($K$1,products!$A$1:$G$1,0))</f>
        <v>0.2</v>
      </c>
      <c r="L73">
        <f>INDEX(products!$A$1:$G$49,MATCH(orders!$D73,products!$A$1:$A$49,0),MATCH($L$1,products!$A$1:$G$1,0))</f>
        <v>4.7549999999999999</v>
      </c>
      <c r="M73">
        <f t="shared" si="4"/>
        <v>9.51</v>
      </c>
      <c r="N73" t="str">
        <f t="shared" si="5"/>
        <v>Liberica</v>
      </c>
      <c r="O73" t="str">
        <f t="shared" si="6"/>
        <v>Light</v>
      </c>
      <c r="P73" t="str">
        <f>_xlfn.XLOOKUP(Orders[[#This Row],[Customer ID]],customers!$A$1:$A$1001,customers!$I$1:$I$1001,0)</f>
        <v>No</v>
      </c>
    </row>
    <row r="74" spans="1:16" x14ac:dyDescent="0.3">
      <c r="A74" s="2" t="s">
        <v>897</v>
      </c>
      <c r="B74" s="3">
        <v>44131</v>
      </c>
      <c r="C74" s="2" t="s">
        <v>898</v>
      </c>
      <c r="D74" t="s">
        <v>6175</v>
      </c>
      <c r="E74" s="2">
        <v>3</v>
      </c>
      <c r="F74" s="2" t="str">
        <f>_xlfn.XLOOKUP(C74,customers!$A$2:$A$1001,customers!$B$2:$B$1001,0)</f>
        <v>Aurlie McCarl</v>
      </c>
      <c r="G74" s="2">
        <f>_xlfn.XLOOKUP(C74,customers!$A$2:$A$1001,customers!$C$2:$C$1001,0)</f>
        <v>0</v>
      </c>
      <c r="H74" s="2" t="str">
        <f>_xlfn.XLOOKUP(orders!C74,customers!$A$2:$A$1001,customers!$G$2:$G$1001,0)</f>
        <v>United States</v>
      </c>
      <c r="I74" t="str">
        <f>INDEX(products!$A$1:$G$49,MATCH(orders!$D74,products!$A$1:$A$49,0),MATCH($I$1,products!$A$1:$G$1,0))</f>
        <v>Ara</v>
      </c>
      <c r="J74" t="str">
        <f>INDEX(products!$A$1:$G$49,MATCH(orders!$D74,products!$A$1:$A$49,0),MATCH($J$1,products!$A$1:$G$1,0))</f>
        <v>M</v>
      </c>
      <c r="K74" s="1">
        <f>INDEX(products!$A$1:$G$49,MATCH(orders!$D74,products!$A$1:$A$49,0),MATCH($K$1,products!$A$1:$G$1,0))</f>
        <v>2.5</v>
      </c>
      <c r="L74">
        <f>INDEX(products!$A$1:$G$49,MATCH(orders!$D74,products!$A$1:$A$49,0),MATCH($L$1,products!$A$1:$G$1,0))</f>
        <v>25.874999999999996</v>
      </c>
      <c r="M74">
        <f t="shared" si="4"/>
        <v>77.624999999999986</v>
      </c>
      <c r="N74" t="str">
        <f t="shared" si="5"/>
        <v>Arabica</v>
      </c>
      <c r="O74" t="str">
        <f t="shared" si="6"/>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_xlfn.XLOOKUP(C75,customers!$A$2:$A$1001,customers!$B$2:$B$1001,0)</f>
        <v>Alikee Carryer</v>
      </c>
      <c r="G75" s="2">
        <f>_xlfn.XLOOKUP(C75,customers!$A$2:$A$1001,customers!$C$2:$C$1001,0)</f>
        <v>0</v>
      </c>
      <c r="H75" s="2" t="str">
        <f>_xlfn.XLOOKUP(orders!C75,customers!$A$2:$A$1001,customers!$G$2:$G$1001,0)</f>
        <v>United States</v>
      </c>
      <c r="I75" t="str">
        <f>INDEX(products!$A$1:$G$49,MATCH(orders!$D75,products!$A$1:$A$49,0),MATCH($I$1,products!$A$1:$G$1,0))</f>
        <v>Lib</v>
      </c>
      <c r="J75" t="str">
        <f>INDEX(products!$A$1:$G$49,MATCH(orders!$D75,products!$A$1:$A$49,0),MATCH($J$1,products!$A$1:$G$1,0))</f>
        <v>M</v>
      </c>
      <c r="K75" s="1">
        <f>INDEX(products!$A$1:$G$49,MATCH(orders!$D75,products!$A$1:$A$49,0),MATCH($K$1,products!$A$1:$G$1,0))</f>
        <v>0.2</v>
      </c>
      <c r="L75">
        <f>INDEX(products!$A$1:$G$49,MATCH(orders!$D75,products!$A$1:$A$49,0),MATCH($L$1,products!$A$1:$G$1,0))</f>
        <v>4.3650000000000002</v>
      </c>
      <c r="M75">
        <f t="shared" si="4"/>
        <v>21.825000000000003</v>
      </c>
      <c r="N75" t="str">
        <f t="shared" si="5"/>
        <v>Liberica</v>
      </c>
      <c r="O75" t="str">
        <f t="shared" si="6"/>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_xlfn.XLOOKUP(C76,customers!$A$2:$A$1001,customers!$B$2:$B$1001,0)</f>
        <v>Jennifer Rangall</v>
      </c>
      <c r="G76" s="2" t="str">
        <f>_xlfn.XLOOKUP(C76,customers!$A$2:$A$1001,customers!$C$2:$C$1001,0)</f>
        <v>jrangall22@newsvine.com</v>
      </c>
      <c r="H76" s="2" t="str">
        <f>_xlfn.XLOOKUP(orders!C76,customers!$A$2:$A$1001,customers!$G$2:$G$1001,0)</f>
        <v>United States</v>
      </c>
      <c r="I76" t="str">
        <f>INDEX(products!$A$1:$G$49,MATCH(orders!$D76,products!$A$1:$A$49,0),MATCH($I$1,products!$A$1:$G$1,0))</f>
        <v>Exc</v>
      </c>
      <c r="J76" t="str">
        <f>INDEX(products!$A$1:$G$49,MATCH(orders!$D76,products!$A$1:$A$49,0),MATCH($J$1,products!$A$1:$G$1,0))</f>
        <v>L</v>
      </c>
      <c r="K76" s="1">
        <f>INDEX(products!$A$1:$G$49,MATCH(orders!$D76,products!$A$1:$A$49,0),MATCH($K$1,products!$A$1:$G$1,0))</f>
        <v>0.5</v>
      </c>
      <c r="L76">
        <f>INDEX(products!$A$1:$G$49,MATCH(orders!$D76,products!$A$1:$A$49,0),MATCH($L$1,products!$A$1:$G$1,0))</f>
        <v>8.91</v>
      </c>
      <c r="M76">
        <f t="shared" si="4"/>
        <v>17.82</v>
      </c>
      <c r="N76" t="str">
        <f t="shared" si="5"/>
        <v>Excelsa</v>
      </c>
      <c r="O76" t="str">
        <f t="shared" si="6"/>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_xlfn.XLOOKUP(C77,customers!$A$2:$A$1001,customers!$B$2:$B$1001,0)</f>
        <v>Kipper Boorn</v>
      </c>
      <c r="G77" s="2" t="str">
        <f>_xlfn.XLOOKUP(C77,customers!$A$2:$A$1001,customers!$C$2:$C$1001,0)</f>
        <v>kboorn23@ezinearticles.com</v>
      </c>
      <c r="H77" s="2" t="str">
        <f>_xlfn.XLOOKUP(orders!C77,customers!$A$2:$A$1001,customers!$G$2:$G$1001,0)</f>
        <v>Ireland</v>
      </c>
      <c r="I77" t="str">
        <f>INDEX(products!$A$1:$G$49,MATCH(orders!$D77,products!$A$1:$A$49,0),MATCH($I$1,products!$A$1:$G$1,0))</f>
        <v>Rob</v>
      </c>
      <c r="J77" t="str">
        <f>INDEX(products!$A$1:$G$49,MATCH(orders!$D77,products!$A$1:$A$49,0),MATCH($J$1,products!$A$1:$G$1,0))</f>
        <v>D</v>
      </c>
      <c r="K77" s="1">
        <f>INDEX(products!$A$1:$G$49,MATCH(orders!$D77,products!$A$1:$A$49,0),MATCH($K$1,products!$A$1:$G$1,0))</f>
        <v>1</v>
      </c>
      <c r="L77">
        <f>INDEX(products!$A$1:$G$49,MATCH(orders!$D77,products!$A$1:$A$49,0),MATCH($L$1,products!$A$1:$G$1,0))</f>
        <v>8.9499999999999993</v>
      </c>
      <c r="M77">
        <f t="shared" si="4"/>
        <v>53.699999999999996</v>
      </c>
      <c r="N77" t="str">
        <f t="shared" si="5"/>
        <v>Robusta</v>
      </c>
      <c r="O77" t="str">
        <f t="shared" si="6"/>
        <v>Dark</v>
      </c>
      <c r="P77" t="str">
        <f>_xlfn.XLOOKUP(Orders[[#This Row],[Customer ID]],customers!$A$1:$A$1001,customers!$I$1:$I$1001,0)</f>
        <v>Yes</v>
      </c>
    </row>
    <row r="78" spans="1:16" x14ac:dyDescent="0.3">
      <c r="A78" s="2" t="s">
        <v>919</v>
      </c>
      <c r="B78" s="3">
        <v>43855</v>
      </c>
      <c r="C78" s="2" t="s">
        <v>920</v>
      </c>
      <c r="D78" t="s">
        <v>6178</v>
      </c>
      <c r="E78" s="2">
        <v>1</v>
      </c>
      <c r="F78" s="2" t="str">
        <f>_xlfn.XLOOKUP(C78,customers!$A$2:$A$1001,customers!$B$2:$B$1001,0)</f>
        <v>Melania Beadle</v>
      </c>
      <c r="G78" s="2">
        <f>_xlfn.XLOOKUP(C78,customers!$A$2:$A$1001,customers!$C$2:$C$1001,0)</f>
        <v>0</v>
      </c>
      <c r="H78" s="2" t="str">
        <f>_xlfn.XLOOKUP(orders!C78,customers!$A$2:$A$1001,customers!$G$2:$G$1001,0)</f>
        <v>Ireland</v>
      </c>
      <c r="I78" t="str">
        <f>INDEX(products!$A$1:$G$49,MATCH(orders!$D78,products!$A$1:$A$49,0),MATCH($I$1,products!$A$1:$G$1,0))</f>
        <v>Rob</v>
      </c>
      <c r="J78" t="str">
        <f>INDEX(products!$A$1:$G$49,MATCH(orders!$D78,products!$A$1:$A$49,0),MATCH($J$1,products!$A$1:$G$1,0))</f>
        <v>L</v>
      </c>
      <c r="K78" s="1">
        <f>INDEX(products!$A$1:$G$49,MATCH(orders!$D78,products!$A$1:$A$49,0),MATCH($K$1,products!$A$1:$G$1,0))</f>
        <v>0.2</v>
      </c>
      <c r="L78">
        <f>INDEX(products!$A$1:$G$49,MATCH(orders!$D78,products!$A$1:$A$49,0),MATCH($L$1,products!$A$1:$G$1,0))</f>
        <v>3.5849999999999995</v>
      </c>
      <c r="M78">
        <f t="shared" si="4"/>
        <v>3.5849999999999995</v>
      </c>
      <c r="N78" t="str">
        <f t="shared" si="5"/>
        <v>Robusta</v>
      </c>
      <c r="O78" t="str">
        <f t="shared" si="6"/>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_xlfn.XLOOKUP(C79,customers!$A$2:$A$1001,customers!$B$2:$B$1001,0)</f>
        <v>Colene Elgey</v>
      </c>
      <c r="G79" s="2" t="str">
        <f>_xlfn.XLOOKUP(C79,customers!$A$2:$A$1001,customers!$C$2:$C$1001,0)</f>
        <v>celgey25@webs.com</v>
      </c>
      <c r="H79" s="2" t="str">
        <f>_xlfn.XLOOKUP(orders!C79,customers!$A$2:$A$1001,customers!$G$2:$G$1001,0)</f>
        <v>United States</v>
      </c>
      <c r="I79" t="str">
        <f>INDEX(products!$A$1:$G$49,MATCH(orders!$D79,products!$A$1:$A$49,0),MATCH($I$1,products!$A$1:$G$1,0))</f>
        <v>Exc</v>
      </c>
      <c r="J79" t="str">
        <f>INDEX(products!$A$1:$G$49,MATCH(orders!$D79,products!$A$1:$A$49,0),MATCH($J$1,products!$A$1:$G$1,0))</f>
        <v>D</v>
      </c>
      <c r="K79" s="1">
        <f>INDEX(products!$A$1:$G$49,MATCH(orders!$D79,products!$A$1:$A$49,0),MATCH($K$1,products!$A$1:$G$1,0))</f>
        <v>0.2</v>
      </c>
      <c r="L79">
        <f>INDEX(products!$A$1:$G$49,MATCH(orders!$D79,products!$A$1:$A$49,0),MATCH($L$1,products!$A$1:$G$1,0))</f>
        <v>3.645</v>
      </c>
      <c r="M79">
        <f t="shared" si="4"/>
        <v>7.29</v>
      </c>
      <c r="N79" t="str">
        <f t="shared" si="5"/>
        <v>Excelsa</v>
      </c>
      <c r="O79" t="str">
        <f t="shared" si="6"/>
        <v>Dark</v>
      </c>
      <c r="P79" t="str">
        <f>_xlfn.XLOOKUP(Orders[[#This Row],[Customer ID]],customers!$A$1:$A$1001,customers!$I$1:$I$1001,0)</f>
        <v>No</v>
      </c>
    </row>
    <row r="80" spans="1:16" x14ac:dyDescent="0.3">
      <c r="A80" s="2" t="s">
        <v>930</v>
      </c>
      <c r="B80" s="3">
        <v>43920</v>
      </c>
      <c r="C80" s="2" t="s">
        <v>931</v>
      </c>
      <c r="D80" t="s">
        <v>6157</v>
      </c>
      <c r="E80" s="2">
        <v>6</v>
      </c>
      <c r="F80" s="2" t="str">
        <f>_xlfn.XLOOKUP(C80,customers!$A$2:$A$1001,customers!$B$2:$B$1001,0)</f>
        <v>Lothaire Mizzi</v>
      </c>
      <c r="G80" s="2" t="str">
        <f>_xlfn.XLOOKUP(C80,customers!$A$2:$A$1001,customers!$C$2:$C$1001,0)</f>
        <v>lmizzi26@rakuten.co.jp</v>
      </c>
      <c r="H80" s="2" t="str">
        <f>_xlfn.XLOOKUP(orders!C80,customers!$A$2:$A$1001,customers!$G$2:$G$1001,0)</f>
        <v>United States</v>
      </c>
      <c r="I80" t="str">
        <f>INDEX(products!$A$1:$G$49,MATCH(orders!$D80,products!$A$1:$A$49,0),MATCH($I$1,products!$A$1:$G$1,0))</f>
        <v>Ara</v>
      </c>
      <c r="J80" t="str">
        <f>INDEX(products!$A$1:$G$49,MATCH(orders!$D80,products!$A$1:$A$49,0),MATCH($J$1,products!$A$1:$G$1,0))</f>
        <v>M</v>
      </c>
      <c r="K80" s="1">
        <f>INDEX(products!$A$1:$G$49,MATCH(orders!$D80,products!$A$1:$A$49,0),MATCH($K$1,products!$A$1:$G$1,0))</f>
        <v>0.5</v>
      </c>
      <c r="L80">
        <f>INDEX(products!$A$1:$G$49,MATCH(orders!$D80,products!$A$1:$A$49,0),MATCH($L$1,products!$A$1:$G$1,0))</f>
        <v>6.75</v>
      </c>
      <c r="M80">
        <f t="shared" si="4"/>
        <v>40.5</v>
      </c>
      <c r="N80" t="str">
        <f t="shared" si="5"/>
        <v>Arabica</v>
      </c>
      <c r="O80" t="str">
        <f t="shared" si="6"/>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_xlfn.XLOOKUP(C81,customers!$A$2:$A$1001,customers!$B$2:$B$1001,0)</f>
        <v>Cletis Giacomazzo</v>
      </c>
      <c r="G81" s="2" t="str">
        <f>_xlfn.XLOOKUP(C81,customers!$A$2:$A$1001,customers!$C$2:$C$1001,0)</f>
        <v>cgiacomazzo27@jigsy.com</v>
      </c>
      <c r="H81" s="2" t="str">
        <f>_xlfn.XLOOKUP(orders!C81,customers!$A$2:$A$1001,customers!$G$2:$G$1001,0)</f>
        <v>United States</v>
      </c>
      <c r="I81" t="str">
        <f>INDEX(products!$A$1:$G$49,MATCH(orders!$D81,products!$A$1:$A$49,0),MATCH($I$1,products!$A$1:$G$1,0))</f>
        <v>Rob</v>
      </c>
      <c r="J81" t="str">
        <f>INDEX(products!$A$1:$G$49,MATCH(orders!$D81,products!$A$1:$A$49,0),MATCH($J$1,products!$A$1:$G$1,0))</f>
        <v>L</v>
      </c>
      <c r="K81" s="1">
        <f>INDEX(products!$A$1:$G$49,MATCH(orders!$D81,products!$A$1:$A$49,0),MATCH($K$1,products!$A$1:$G$1,0))</f>
        <v>1</v>
      </c>
      <c r="L81">
        <f>INDEX(products!$A$1:$G$49,MATCH(orders!$D81,products!$A$1:$A$49,0),MATCH($L$1,products!$A$1:$G$1,0))</f>
        <v>11.95</v>
      </c>
      <c r="M81">
        <f t="shared" si="4"/>
        <v>47.8</v>
      </c>
      <c r="N81" t="str">
        <f t="shared" si="5"/>
        <v>Robusta</v>
      </c>
      <c r="O81" t="str">
        <f t="shared" si="6"/>
        <v>Light</v>
      </c>
      <c r="P81" t="str">
        <f>_xlfn.XLOOKUP(Orders[[#This Row],[Customer ID]],customers!$A$1:$A$1001,customers!$I$1:$I$1001,0)</f>
        <v>No</v>
      </c>
    </row>
    <row r="82" spans="1:16" x14ac:dyDescent="0.3">
      <c r="A82" s="2" t="s">
        <v>942</v>
      </c>
      <c r="B82" s="3">
        <v>43572</v>
      </c>
      <c r="C82" s="2" t="s">
        <v>943</v>
      </c>
      <c r="D82" t="s">
        <v>6180</v>
      </c>
      <c r="E82" s="2">
        <v>5</v>
      </c>
      <c r="F82" s="2" t="str">
        <f>_xlfn.XLOOKUP(C82,customers!$A$2:$A$1001,customers!$B$2:$B$1001,0)</f>
        <v>Ami Arnow</v>
      </c>
      <c r="G82" s="2" t="str">
        <f>_xlfn.XLOOKUP(C82,customers!$A$2:$A$1001,customers!$C$2:$C$1001,0)</f>
        <v>aarnow28@arizona.edu</v>
      </c>
      <c r="H82" s="2" t="str">
        <f>_xlfn.XLOOKUP(orders!C82,customers!$A$2:$A$1001,customers!$G$2:$G$1001,0)</f>
        <v>United States</v>
      </c>
      <c r="I82" t="str">
        <f>INDEX(products!$A$1:$G$49,MATCH(orders!$D82,products!$A$1:$A$49,0),MATCH($I$1,products!$A$1:$G$1,0))</f>
        <v>Ara</v>
      </c>
      <c r="J82" t="str">
        <f>INDEX(products!$A$1:$G$49,MATCH(orders!$D82,products!$A$1:$A$49,0),MATCH($J$1,products!$A$1:$G$1,0))</f>
        <v>L</v>
      </c>
      <c r="K82" s="1">
        <f>INDEX(products!$A$1:$G$49,MATCH(orders!$D82,products!$A$1:$A$49,0),MATCH($K$1,products!$A$1:$G$1,0))</f>
        <v>0.5</v>
      </c>
      <c r="L82">
        <f>INDEX(products!$A$1:$G$49,MATCH(orders!$D82,products!$A$1:$A$49,0),MATCH($L$1,products!$A$1:$G$1,0))</f>
        <v>7.77</v>
      </c>
      <c r="M82">
        <f t="shared" si="4"/>
        <v>38.849999999999994</v>
      </c>
      <c r="N82" t="str">
        <f t="shared" si="5"/>
        <v>Arabica</v>
      </c>
      <c r="O82" t="str">
        <f t="shared" si="6"/>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_xlfn.XLOOKUP(C83,customers!$A$2:$A$1001,customers!$B$2:$B$1001,0)</f>
        <v>Sheppard Yann</v>
      </c>
      <c r="G83" s="2" t="str">
        <f>_xlfn.XLOOKUP(C83,customers!$A$2:$A$1001,customers!$C$2:$C$1001,0)</f>
        <v>syann29@senate.gov</v>
      </c>
      <c r="H83" s="2" t="str">
        <f>_xlfn.XLOOKUP(orders!C83,customers!$A$2:$A$1001,customers!$G$2:$G$1001,0)</f>
        <v>United States</v>
      </c>
      <c r="I83" t="str">
        <f>INDEX(products!$A$1:$G$49,MATCH(orders!$D83,products!$A$1:$A$49,0),MATCH($I$1,products!$A$1:$G$1,0))</f>
        <v>Lib</v>
      </c>
      <c r="J83" t="str">
        <f>INDEX(products!$A$1:$G$49,MATCH(orders!$D83,products!$A$1:$A$49,0),MATCH($J$1,products!$A$1:$G$1,0))</f>
        <v>L</v>
      </c>
      <c r="K83" s="1">
        <f>INDEX(products!$A$1:$G$49,MATCH(orders!$D83,products!$A$1:$A$49,0),MATCH($K$1,products!$A$1:$G$1,0))</f>
        <v>2.5</v>
      </c>
      <c r="L83">
        <f>INDEX(products!$A$1:$G$49,MATCH(orders!$D83,products!$A$1:$A$49,0),MATCH($L$1,products!$A$1:$G$1,0))</f>
        <v>36.454999999999998</v>
      </c>
      <c r="M83">
        <f t="shared" si="4"/>
        <v>109.36499999999999</v>
      </c>
      <c r="N83" t="str">
        <f t="shared" si="5"/>
        <v>Liberica</v>
      </c>
      <c r="O83" t="str">
        <f t="shared" si="6"/>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_xlfn.XLOOKUP(C84,customers!$A$2:$A$1001,customers!$B$2:$B$1001,0)</f>
        <v>Bunny Naulls</v>
      </c>
      <c r="G84" s="2" t="str">
        <f>_xlfn.XLOOKUP(C84,customers!$A$2:$A$1001,customers!$C$2:$C$1001,0)</f>
        <v>bnaulls2a@tiny.cc</v>
      </c>
      <c r="H84" s="2" t="str">
        <f>_xlfn.XLOOKUP(orders!C84,customers!$A$2:$A$1001,customers!$G$2:$G$1001,0)</f>
        <v>Ireland</v>
      </c>
      <c r="I84" t="str">
        <f>INDEX(products!$A$1:$G$49,MATCH(orders!$D84,products!$A$1:$A$49,0),MATCH($I$1,products!$A$1:$G$1,0))</f>
        <v>Lib</v>
      </c>
      <c r="J84" t="str">
        <f>INDEX(products!$A$1:$G$49,MATCH(orders!$D84,products!$A$1:$A$49,0),MATCH($J$1,products!$A$1:$G$1,0))</f>
        <v>M</v>
      </c>
      <c r="K84" s="1">
        <f>INDEX(products!$A$1:$G$49,MATCH(orders!$D84,products!$A$1:$A$49,0),MATCH($K$1,products!$A$1:$G$1,0))</f>
        <v>2.5</v>
      </c>
      <c r="L84">
        <f>INDEX(products!$A$1:$G$49,MATCH(orders!$D84,products!$A$1:$A$49,0),MATCH($L$1,products!$A$1:$G$1,0))</f>
        <v>33.464999999999996</v>
      </c>
      <c r="M84">
        <f t="shared" si="4"/>
        <v>100.39499999999998</v>
      </c>
      <c r="N84" t="str">
        <f t="shared" si="5"/>
        <v>Liberica</v>
      </c>
      <c r="O84" t="str">
        <f t="shared" si="6"/>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_xlfn.XLOOKUP(C85,customers!$A$2:$A$1001,customers!$B$2:$B$1001,0)</f>
        <v>Hally Lorait</v>
      </c>
      <c r="G85" s="2">
        <f>_xlfn.XLOOKUP(C85,customers!$A$2:$A$1001,customers!$C$2:$C$1001,0)</f>
        <v>0</v>
      </c>
      <c r="H85" s="2" t="str">
        <f>_xlfn.XLOOKUP(orders!C85,customers!$A$2:$A$1001,customers!$G$2:$G$1001,0)</f>
        <v>United States</v>
      </c>
      <c r="I85" t="str">
        <f>INDEX(products!$A$1:$G$49,MATCH(orders!$D85,products!$A$1:$A$49,0),MATCH($I$1,products!$A$1:$G$1,0))</f>
        <v>Rob</v>
      </c>
      <c r="J85" t="str">
        <f>INDEX(products!$A$1:$G$49,MATCH(orders!$D85,products!$A$1:$A$49,0),MATCH($J$1,products!$A$1:$G$1,0))</f>
        <v>D</v>
      </c>
      <c r="K85" s="1">
        <f>INDEX(products!$A$1:$G$49,MATCH(orders!$D85,products!$A$1:$A$49,0),MATCH($K$1,products!$A$1:$G$1,0))</f>
        <v>2.5</v>
      </c>
      <c r="L85">
        <f>INDEX(products!$A$1:$G$49,MATCH(orders!$D85,products!$A$1:$A$49,0),MATCH($L$1,products!$A$1:$G$1,0))</f>
        <v>20.584999999999997</v>
      </c>
      <c r="M85">
        <f t="shared" si="4"/>
        <v>82.339999999999989</v>
      </c>
      <c r="N85" t="str">
        <f t="shared" si="5"/>
        <v>Robusta</v>
      </c>
      <c r="O85" t="str">
        <f t="shared" si="6"/>
        <v>Dark</v>
      </c>
      <c r="P85" t="str">
        <f>_xlfn.XLOOKUP(Orders[[#This Row],[Customer ID]],customers!$A$1:$A$1001,customers!$I$1:$I$1001,0)</f>
        <v>Yes</v>
      </c>
    </row>
    <row r="86" spans="1:16" x14ac:dyDescent="0.3">
      <c r="A86" s="2" t="s">
        <v>965</v>
      </c>
      <c r="B86" s="3">
        <v>43783</v>
      </c>
      <c r="C86" s="2" t="s">
        <v>966</v>
      </c>
      <c r="D86" t="s">
        <v>6161</v>
      </c>
      <c r="E86" s="2">
        <v>1</v>
      </c>
      <c r="F86" s="2" t="str">
        <f>_xlfn.XLOOKUP(C86,customers!$A$2:$A$1001,customers!$B$2:$B$1001,0)</f>
        <v>Zaccaria Sherewood</v>
      </c>
      <c r="G86" s="2" t="str">
        <f>_xlfn.XLOOKUP(C86,customers!$A$2:$A$1001,customers!$C$2:$C$1001,0)</f>
        <v>zsherewood2c@apache.org</v>
      </c>
      <c r="H86" s="2" t="str">
        <f>_xlfn.XLOOKUP(orders!C86,customers!$A$2:$A$1001,customers!$G$2:$G$1001,0)</f>
        <v>United States</v>
      </c>
      <c r="I86" t="str">
        <f>INDEX(products!$A$1:$G$49,MATCH(orders!$D86,products!$A$1:$A$49,0),MATCH($I$1,products!$A$1:$G$1,0))</f>
        <v>Lib</v>
      </c>
      <c r="J86" t="str">
        <f>INDEX(products!$A$1:$G$49,MATCH(orders!$D86,products!$A$1:$A$49,0),MATCH($J$1,products!$A$1:$G$1,0))</f>
        <v>L</v>
      </c>
      <c r="K86" s="1">
        <f>INDEX(products!$A$1:$G$49,MATCH(orders!$D86,products!$A$1:$A$49,0),MATCH($K$1,products!$A$1:$G$1,0))</f>
        <v>0.5</v>
      </c>
      <c r="L86">
        <f>INDEX(products!$A$1:$G$49,MATCH(orders!$D86,products!$A$1:$A$49,0),MATCH($L$1,products!$A$1:$G$1,0))</f>
        <v>9.51</v>
      </c>
      <c r="M86">
        <f t="shared" si="4"/>
        <v>9.51</v>
      </c>
      <c r="N86" t="str">
        <f t="shared" si="5"/>
        <v>Liberica</v>
      </c>
      <c r="O86" t="str">
        <f t="shared" si="6"/>
        <v>Light</v>
      </c>
      <c r="P86" t="str">
        <f>_xlfn.XLOOKUP(Orders[[#This Row],[Customer ID]],customers!$A$1:$A$1001,customers!$I$1:$I$1001,0)</f>
        <v>No</v>
      </c>
    </row>
    <row r="87" spans="1:16" x14ac:dyDescent="0.3">
      <c r="A87" s="2" t="s">
        <v>971</v>
      </c>
      <c r="B87" s="3">
        <v>43664</v>
      </c>
      <c r="C87" s="2" t="s">
        <v>972</v>
      </c>
      <c r="D87" t="s">
        <v>6182</v>
      </c>
      <c r="E87" s="2">
        <v>3</v>
      </c>
      <c r="F87" s="2" t="str">
        <f>_xlfn.XLOOKUP(C87,customers!$A$2:$A$1001,customers!$B$2:$B$1001,0)</f>
        <v>Jeffrey Dufaire</v>
      </c>
      <c r="G87" s="2" t="str">
        <f>_xlfn.XLOOKUP(C87,customers!$A$2:$A$1001,customers!$C$2:$C$1001,0)</f>
        <v>jdufaire2d@fc2.com</v>
      </c>
      <c r="H87" s="2" t="str">
        <f>_xlfn.XLOOKUP(orders!C87,customers!$A$2:$A$1001,customers!$G$2:$G$1001,0)</f>
        <v>United States</v>
      </c>
      <c r="I87" t="str">
        <f>INDEX(products!$A$1:$G$49,MATCH(orders!$D87,products!$A$1:$A$49,0),MATCH($I$1,products!$A$1:$G$1,0))</f>
        <v>Ara</v>
      </c>
      <c r="J87" t="str">
        <f>INDEX(products!$A$1:$G$49,MATCH(orders!$D87,products!$A$1:$A$49,0),MATCH($J$1,products!$A$1:$G$1,0))</f>
        <v>L</v>
      </c>
      <c r="K87" s="1">
        <f>INDEX(products!$A$1:$G$49,MATCH(orders!$D87,products!$A$1:$A$49,0),MATCH($K$1,products!$A$1:$G$1,0))</f>
        <v>2.5</v>
      </c>
      <c r="L87">
        <f>INDEX(products!$A$1:$G$49,MATCH(orders!$D87,products!$A$1:$A$49,0),MATCH($L$1,products!$A$1:$G$1,0))</f>
        <v>29.784999999999997</v>
      </c>
      <c r="M87">
        <f t="shared" si="4"/>
        <v>89.35499999999999</v>
      </c>
      <c r="N87" t="str">
        <f t="shared" si="5"/>
        <v>Arabica</v>
      </c>
      <c r="O87" t="str">
        <f t="shared" si="6"/>
        <v>Light</v>
      </c>
      <c r="P87" t="str">
        <f>_xlfn.XLOOKUP(Orders[[#This Row],[Customer ID]],customers!$A$1:$A$1001,customers!$I$1:$I$1001,0)</f>
        <v>No</v>
      </c>
    </row>
    <row r="88" spans="1:16" x14ac:dyDescent="0.3">
      <c r="A88" s="2" t="s">
        <v>971</v>
      </c>
      <c r="B88" s="3">
        <v>43664</v>
      </c>
      <c r="C88" s="2" t="s">
        <v>972</v>
      </c>
      <c r="D88" t="s">
        <v>6154</v>
      </c>
      <c r="E88" s="2">
        <v>4</v>
      </c>
      <c r="F88" s="2" t="str">
        <f>_xlfn.XLOOKUP(C88,customers!$A$2:$A$1001,customers!$B$2:$B$1001,0)</f>
        <v>Jeffrey Dufaire</v>
      </c>
      <c r="G88" s="2" t="str">
        <f>_xlfn.XLOOKUP(C88,customers!$A$2:$A$1001,customers!$C$2:$C$1001,0)</f>
        <v>jdufaire2d@fc2.com</v>
      </c>
      <c r="H88" s="2" t="str">
        <f>_xlfn.XLOOKUP(orders!C88,customers!$A$2:$A$1001,customers!$G$2:$G$1001,0)</f>
        <v>United States</v>
      </c>
      <c r="I88" t="str">
        <f>INDEX(products!$A$1:$G$49,MATCH(orders!$D88,products!$A$1:$A$49,0),MATCH($I$1,products!$A$1:$G$1,0))</f>
        <v>Ara</v>
      </c>
      <c r="J88" t="str">
        <f>INDEX(products!$A$1:$G$49,MATCH(orders!$D88,products!$A$1:$A$49,0),MATCH($J$1,products!$A$1:$G$1,0))</f>
        <v>D</v>
      </c>
      <c r="K88" s="1">
        <f>INDEX(products!$A$1:$G$49,MATCH(orders!$D88,products!$A$1:$A$49,0),MATCH($K$1,products!$A$1:$G$1,0))</f>
        <v>0.2</v>
      </c>
      <c r="L88">
        <f>INDEX(products!$A$1:$G$49,MATCH(orders!$D88,products!$A$1:$A$49,0),MATCH($L$1,products!$A$1:$G$1,0))</f>
        <v>2.9849999999999999</v>
      </c>
      <c r="M88">
        <f t="shared" si="4"/>
        <v>11.94</v>
      </c>
      <c r="N88" t="str">
        <f t="shared" si="5"/>
        <v>Arabica</v>
      </c>
      <c r="O88" t="str">
        <f t="shared" si="6"/>
        <v>Dark</v>
      </c>
      <c r="P88" t="str">
        <f>_xlfn.XLOOKUP(Orders[[#This Row],[Customer ID]],customers!$A$1:$A$1001,customers!$I$1:$I$1001,0)</f>
        <v>No</v>
      </c>
    </row>
    <row r="89" spans="1:16" x14ac:dyDescent="0.3">
      <c r="A89" s="2" t="s">
        <v>980</v>
      </c>
      <c r="B89" s="3">
        <v>44289</v>
      </c>
      <c r="C89" s="2" t="s">
        <v>981</v>
      </c>
      <c r="D89" t="s">
        <v>6155</v>
      </c>
      <c r="E89" s="2">
        <v>3</v>
      </c>
      <c r="F89" s="2" t="str">
        <f>_xlfn.XLOOKUP(C89,customers!$A$2:$A$1001,customers!$B$2:$B$1001,0)</f>
        <v>Beitris Keaveney</v>
      </c>
      <c r="G89" s="2" t="str">
        <f>_xlfn.XLOOKUP(C89,customers!$A$2:$A$1001,customers!$C$2:$C$1001,0)</f>
        <v>bkeaveney2f@netlog.com</v>
      </c>
      <c r="H89" s="2" t="str">
        <f>_xlfn.XLOOKUP(orders!C89,customers!$A$2:$A$1001,customers!$G$2:$G$1001,0)</f>
        <v>United States</v>
      </c>
      <c r="I89" t="str">
        <f>INDEX(products!$A$1:$G$49,MATCH(orders!$D89,products!$A$1:$A$49,0),MATCH($I$1,products!$A$1:$G$1,0))</f>
        <v>Ara</v>
      </c>
      <c r="J89" t="str">
        <f>INDEX(products!$A$1:$G$49,MATCH(orders!$D89,products!$A$1:$A$49,0),MATCH($J$1,products!$A$1:$G$1,0))</f>
        <v>M</v>
      </c>
      <c r="K89" s="1">
        <f>INDEX(products!$A$1:$G$49,MATCH(orders!$D89,products!$A$1:$A$49,0),MATCH($K$1,products!$A$1:$G$1,0))</f>
        <v>1</v>
      </c>
      <c r="L89">
        <f>INDEX(products!$A$1:$G$49,MATCH(orders!$D89,products!$A$1:$A$49,0),MATCH($L$1,products!$A$1:$G$1,0))</f>
        <v>11.25</v>
      </c>
      <c r="M89">
        <f t="shared" si="4"/>
        <v>33.75</v>
      </c>
      <c r="N89" t="str">
        <f t="shared" si="5"/>
        <v>Arabica</v>
      </c>
      <c r="O89" t="str">
        <f t="shared" si="6"/>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_xlfn.XLOOKUP(C90,customers!$A$2:$A$1001,customers!$B$2:$B$1001,0)</f>
        <v>Elna Grise</v>
      </c>
      <c r="G90" s="2" t="str">
        <f>_xlfn.XLOOKUP(C90,customers!$A$2:$A$1001,customers!$C$2:$C$1001,0)</f>
        <v>egrise2g@cargocollective.com</v>
      </c>
      <c r="H90" s="2" t="str">
        <f>_xlfn.XLOOKUP(orders!C90,customers!$A$2:$A$1001,customers!$G$2:$G$1001,0)</f>
        <v>United States</v>
      </c>
      <c r="I90" t="str">
        <f>INDEX(products!$A$1:$G$49,MATCH(orders!$D90,products!$A$1:$A$49,0),MATCH($I$1,products!$A$1:$G$1,0))</f>
        <v>Rob</v>
      </c>
      <c r="J90" t="str">
        <f>INDEX(products!$A$1:$G$49,MATCH(orders!$D90,products!$A$1:$A$49,0),MATCH($J$1,products!$A$1:$G$1,0))</f>
        <v>L</v>
      </c>
      <c r="K90" s="1">
        <f>INDEX(products!$A$1:$G$49,MATCH(orders!$D90,products!$A$1:$A$49,0),MATCH($K$1,products!$A$1:$G$1,0))</f>
        <v>1</v>
      </c>
      <c r="L90">
        <f>INDEX(products!$A$1:$G$49,MATCH(orders!$D90,products!$A$1:$A$49,0),MATCH($L$1,products!$A$1:$G$1,0))</f>
        <v>11.95</v>
      </c>
      <c r="M90">
        <f t="shared" si="4"/>
        <v>35.849999999999994</v>
      </c>
      <c r="N90" t="str">
        <f t="shared" si="5"/>
        <v>Robusta</v>
      </c>
      <c r="O90" t="str">
        <f t="shared" si="6"/>
        <v>Light</v>
      </c>
      <c r="P90" t="str">
        <f>_xlfn.XLOOKUP(Orders[[#This Row],[Customer ID]],customers!$A$1:$A$1001,customers!$I$1:$I$1001,0)</f>
        <v>No</v>
      </c>
    </row>
    <row r="91" spans="1:16" x14ac:dyDescent="0.3">
      <c r="A91" s="2" t="s">
        <v>990</v>
      </c>
      <c r="B91" s="3">
        <v>44545</v>
      </c>
      <c r="C91" s="2" t="s">
        <v>991</v>
      </c>
      <c r="D91" t="s">
        <v>6140</v>
      </c>
      <c r="E91" s="2">
        <v>6</v>
      </c>
      <c r="F91" s="2" t="str">
        <f>_xlfn.XLOOKUP(C91,customers!$A$2:$A$1001,customers!$B$2:$B$1001,0)</f>
        <v>Torie Gottelier</v>
      </c>
      <c r="G91" s="2" t="str">
        <f>_xlfn.XLOOKUP(C91,customers!$A$2:$A$1001,customers!$C$2:$C$1001,0)</f>
        <v>tgottelier2h@vistaprint.com</v>
      </c>
      <c r="H91" s="2" t="str">
        <f>_xlfn.XLOOKUP(orders!C91,customers!$A$2:$A$1001,customers!$G$2:$G$1001,0)</f>
        <v>United States</v>
      </c>
      <c r="I91" t="str">
        <f>INDEX(products!$A$1:$G$49,MATCH(orders!$D91,products!$A$1:$A$49,0),MATCH($I$1,products!$A$1:$G$1,0))</f>
        <v>Ara</v>
      </c>
      <c r="J91" t="str">
        <f>INDEX(products!$A$1:$G$49,MATCH(orders!$D91,products!$A$1:$A$49,0),MATCH($J$1,products!$A$1:$G$1,0))</f>
        <v>L</v>
      </c>
      <c r="K91" s="1">
        <f>INDEX(products!$A$1:$G$49,MATCH(orders!$D91,products!$A$1:$A$49,0),MATCH($K$1,products!$A$1:$G$1,0))</f>
        <v>1</v>
      </c>
      <c r="L91">
        <f>INDEX(products!$A$1:$G$49,MATCH(orders!$D91,products!$A$1:$A$49,0),MATCH($L$1,products!$A$1:$G$1,0))</f>
        <v>12.95</v>
      </c>
      <c r="M91">
        <f t="shared" si="4"/>
        <v>77.699999999999989</v>
      </c>
      <c r="N91" t="str">
        <f t="shared" si="5"/>
        <v>Arabica</v>
      </c>
      <c r="O91" t="str">
        <f t="shared" si="6"/>
        <v>Light</v>
      </c>
      <c r="P91" t="str">
        <f>_xlfn.XLOOKUP(Orders[[#This Row],[Customer ID]],customers!$A$1:$A$1001,customers!$I$1:$I$1001,0)</f>
        <v>No</v>
      </c>
    </row>
    <row r="92" spans="1:16" x14ac:dyDescent="0.3">
      <c r="A92" s="2" t="s">
        <v>996</v>
      </c>
      <c r="B92" s="3">
        <v>43971</v>
      </c>
      <c r="C92" s="2" t="s">
        <v>997</v>
      </c>
      <c r="D92" t="s">
        <v>6140</v>
      </c>
      <c r="E92" s="2">
        <v>4</v>
      </c>
      <c r="F92" s="2" t="str">
        <f>_xlfn.XLOOKUP(C92,customers!$A$2:$A$1001,customers!$B$2:$B$1001,0)</f>
        <v>Loydie Langlais</v>
      </c>
      <c r="G92" s="2">
        <f>_xlfn.XLOOKUP(C92,customers!$A$2:$A$1001,customers!$C$2:$C$1001,0)</f>
        <v>0</v>
      </c>
      <c r="H92" s="2" t="str">
        <f>_xlfn.XLOOKUP(orders!C92,customers!$A$2:$A$1001,customers!$G$2:$G$1001,0)</f>
        <v>Ireland</v>
      </c>
      <c r="I92" t="str">
        <f>INDEX(products!$A$1:$G$49,MATCH(orders!$D92,products!$A$1:$A$49,0),MATCH($I$1,products!$A$1:$G$1,0))</f>
        <v>Ara</v>
      </c>
      <c r="J92" t="str">
        <f>INDEX(products!$A$1:$G$49,MATCH(orders!$D92,products!$A$1:$A$49,0),MATCH($J$1,products!$A$1:$G$1,0))</f>
        <v>L</v>
      </c>
      <c r="K92" s="1">
        <f>INDEX(products!$A$1:$G$49,MATCH(orders!$D92,products!$A$1:$A$49,0),MATCH($K$1,products!$A$1:$G$1,0))</f>
        <v>1</v>
      </c>
      <c r="L92">
        <f>INDEX(products!$A$1:$G$49,MATCH(orders!$D92,products!$A$1:$A$49,0),MATCH($L$1,products!$A$1:$G$1,0))</f>
        <v>12.95</v>
      </c>
      <c r="M92">
        <f t="shared" si="4"/>
        <v>51.8</v>
      </c>
      <c r="N92" t="str">
        <f t="shared" si="5"/>
        <v>Arabica</v>
      </c>
      <c r="O92" t="str">
        <f t="shared" si="6"/>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_xlfn.XLOOKUP(C93,customers!$A$2:$A$1001,customers!$B$2:$B$1001,0)</f>
        <v>Adham Greenhead</v>
      </c>
      <c r="G93" s="2" t="str">
        <f>_xlfn.XLOOKUP(C93,customers!$A$2:$A$1001,customers!$C$2:$C$1001,0)</f>
        <v>agreenhead2j@dailymail.co.uk</v>
      </c>
      <c r="H93" s="2" t="str">
        <f>_xlfn.XLOOKUP(orders!C93,customers!$A$2:$A$1001,customers!$G$2:$G$1001,0)</f>
        <v>United States</v>
      </c>
      <c r="I93" t="str">
        <f>INDEX(products!$A$1:$G$49,MATCH(orders!$D93,products!$A$1:$A$49,0),MATCH($I$1,products!$A$1:$G$1,0))</f>
        <v>Ara</v>
      </c>
      <c r="J93" t="str">
        <f>INDEX(products!$A$1:$G$49,MATCH(orders!$D93,products!$A$1:$A$49,0),MATCH($J$1,products!$A$1:$G$1,0))</f>
        <v>M</v>
      </c>
      <c r="K93" s="1">
        <f>INDEX(products!$A$1:$G$49,MATCH(orders!$D93,products!$A$1:$A$49,0),MATCH($K$1,products!$A$1:$G$1,0))</f>
        <v>2.5</v>
      </c>
      <c r="L93">
        <f>INDEX(products!$A$1:$G$49,MATCH(orders!$D93,products!$A$1:$A$49,0),MATCH($L$1,products!$A$1:$G$1,0))</f>
        <v>25.874999999999996</v>
      </c>
      <c r="M93">
        <f t="shared" si="4"/>
        <v>103.49999999999999</v>
      </c>
      <c r="N93" t="str">
        <f t="shared" si="5"/>
        <v>Arabica</v>
      </c>
      <c r="O93" t="str">
        <f t="shared" si="6"/>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_xlfn.XLOOKUP(C94,customers!$A$2:$A$1001,customers!$B$2:$B$1001,0)</f>
        <v>Hamish MacSherry</v>
      </c>
      <c r="G94" s="2">
        <f>_xlfn.XLOOKUP(C94,customers!$A$2:$A$1001,customers!$C$2:$C$1001,0)</f>
        <v>0</v>
      </c>
      <c r="H94" s="2" t="str">
        <f>_xlfn.XLOOKUP(orders!C94,customers!$A$2:$A$1001,customers!$G$2:$G$1001,0)</f>
        <v>United States</v>
      </c>
      <c r="I94" t="str">
        <f>INDEX(products!$A$1:$G$49,MATCH(orders!$D94,products!$A$1:$A$49,0),MATCH($I$1,products!$A$1:$G$1,0))</f>
        <v>Exc</v>
      </c>
      <c r="J94" t="str">
        <f>INDEX(products!$A$1:$G$49,MATCH(orders!$D94,products!$A$1:$A$49,0),MATCH($J$1,products!$A$1:$G$1,0))</f>
        <v>L</v>
      </c>
      <c r="K94" s="1">
        <f>INDEX(products!$A$1:$G$49,MATCH(orders!$D94,products!$A$1:$A$49,0),MATCH($K$1,products!$A$1:$G$1,0))</f>
        <v>1</v>
      </c>
      <c r="L94">
        <f>INDEX(products!$A$1:$G$49,MATCH(orders!$D94,products!$A$1:$A$49,0),MATCH($L$1,products!$A$1:$G$1,0))</f>
        <v>14.85</v>
      </c>
      <c r="M94">
        <f t="shared" si="4"/>
        <v>44.55</v>
      </c>
      <c r="N94" t="str">
        <f t="shared" si="5"/>
        <v>Excelsa</v>
      </c>
      <c r="O94" t="str">
        <f t="shared" si="6"/>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_xlfn.XLOOKUP(C95,customers!$A$2:$A$1001,customers!$B$2:$B$1001,0)</f>
        <v>Else Langcaster</v>
      </c>
      <c r="G95" s="2" t="str">
        <f>_xlfn.XLOOKUP(C95,customers!$A$2:$A$1001,customers!$C$2:$C$1001,0)</f>
        <v>elangcaster2l@spotify.com</v>
      </c>
      <c r="H95" s="2" t="str">
        <f>_xlfn.XLOOKUP(orders!C95,customers!$A$2:$A$1001,customers!$G$2:$G$1001,0)</f>
        <v>United Kingdom</v>
      </c>
      <c r="I95" t="str">
        <f>INDEX(products!$A$1:$G$49,MATCH(orders!$D95,products!$A$1:$A$49,0),MATCH($I$1,products!$A$1:$G$1,0))</f>
        <v>Exc</v>
      </c>
      <c r="J95" t="str">
        <f>INDEX(products!$A$1:$G$49,MATCH(orders!$D95,products!$A$1:$A$49,0),MATCH($J$1,products!$A$1:$G$1,0))</f>
        <v>L</v>
      </c>
      <c r="K95" s="1">
        <f>INDEX(products!$A$1:$G$49,MATCH(orders!$D95,products!$A$1:$A$49,0),MATCH($K$1,products!$A$1:$G$1,0))</f>
        <v>0.5</v>
      </c>
      <c r="L95">
        <f>INDEX(products!$A$1:$G$49,MATCH(orders!$D95,products!$A$1:$A$49,0),MATCH($L$1,products!$A$1:$G$1,0))</f>
        <v>8.91</v>
      </c>
      <c r="M95">
        <f t="shared" si="4"/>
        <v>35.64</v>
      </c>
      <c r="N95" t="str">
        <f t="shared" si="5"/>
        <v>Excelsa</v>
      </c>
      <c r="O95" t="str">
        <f t="shared" si="6"/>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_xlfn.XLOOKUP(C96,customers!$A$2:$A$1001,customers!$B$2:$B$1001,0)</f>
        <v>Rudy Farquharson</v>
      </c>
      <c r="G96" s="2">
        <f>_xlfn.XLOOKUP(C96,customers!$A$2:$A$1001,customers!$C$2:$C$1001,0)</f>
        <v>0</v>
      </c>
      <c r="H96" s="2" t="str">
        <f>_xlfn.XLOOKUP(orders!C96,customers!$A$2:$A$1001,customers!$G$2:$G$1001,0)</f>
        <v>Ireland</v>
      </c>
      <c r="I96" t="str">
        <f>INDEX(products!$A$1:$G$49,MATCH(orders!$D96,products!$A$1:$A$49,0),MATCH($I$1,products!$A$1:$G$1,0))</f>
        <v>Ara</v>
      </c>
      <c r="J96" t="str">
        <f>INDEX(products!$A$1:$G$49,MATCH(orders!$D96,products!$A$1:$A$49,0),MATCH($J$1,products!$A$1:$G$1,0))</f>
        <v>D</v>
      </c>
      <c r="K96" s="1">
        <f>INDEX(products!$A$1:$G$49,MATCH(orders!$D96,products!$A$1:$A$49,0),MATCH($K$1,products!$A$1:$G$1,0))</f>
        <v>0.2</v>
      </c>
      <c r="L96">
        <f>INDEX(products!$A$1:$G$49,MATCH(orders!$D96,products!$A$1:$A$49,0),MATCH($L$1,products!$A$1:$G$1,0))</f>
        <v>2.9849999999999999</v>
      </c>
      <c r="M96">
        <f t="shared" si="4"/>
        <v>17.91</v>
      </c>
      <c r="N96" t="str">
        <f t="shared" si="5"/>
        <v>Arabica</v>
      </c>
      <c r="O96" t="str">
        <f t="shared" si="6"/>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_xlfn.XLOOKUP(C97,customers!$A$2:$A$1001,customers!$B$2:$B$1001,0)</f>
        <v>Norene Magauran</v>
      </c>
      <c r="G97" s="2" t="str">
        <f>_xlfn.XLOOKUP(C97,customers!$A$2:$A$1001,customers!$C$2:$C$1001,0)</f>
        <v>nmagauran2n@51.la</v>
      </c>
      <c r="H97" s="2" t="str">
        <f>_xlfn.XLOOKUP(orders!C97,customers!$A$2:$A$1001,customers!$G$2:$G$1001,0)</f>
        <v>United States</v>
      </c>
      <c r="I97" t="str">
        <f>INDEX(products!$A$1:$G$49,MATCH(orders!$D97,products!$A$1:$A$49,0),MATCH($I$1,products!$A$1:$G$1,0))</f>
        <v>Ara</v>
      </c>
      <c r="J97" t="str">
        <f>INDEX(products!$A$1:$G$49,MATCH(orders!$D97,products!$A$1:$A$49,0),MATCH($J$1,products!$A$1:$G$1,0))</f>
        <v>M</v>
      </c>
      <c r="K97" s="1">
        <f>INDEX(products!$A$1:$G$49,MATCH(orders!$D97,products!$A$1:$A$49,0),MATCH($K$1,products!$A$1:$G$1,0))</f>
        <v>2.5</v>
      </c>
      <c r="L97">
        <f>INDEX(products!$A$1:$G$49,MATCH(orders!$D97,products!$A$1:$A$49,0),MATCH($L$1,products!$A$1:$G$1,0))</f>
        <v>25.874999999999996</v>
      </c>
      <c r="M97">
        <f t="shared" si="4"/>
        <v>155.24999999999997</v>
      </c>
      <c r="N97" t="str">
        <f t="shared" si="5"/>
        <v>Arabica</v>
      </c>
      <c r="O97" t="str">
        <f t="shared" si="6"/>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_xlfn.XLOOKUP(C98,customers!$A$2:$A$1001,customers!$B$2:$B$1001,0)</f>
        <v>Vicki Kirdsch</v>
      </c>
      <c r="G98" s="2" t="str">
        <f>_xlfn.XLOOKUP(C98,customers!$A$2:$A$1001,customers!$C$2:$C$1001,0)</f>
        <v>vkirdsch2o@google.fr</v>
      </c>
      <c r="H98" s="2" t="str">
        <f>_xlfn.XLOOKUP(orders!C98,customers!$A$2:$A$1001,customers!$G$2:$G$1001,0)</f>
        <v>United States</v>
      </c>
      <c r="I98" t="str">
        <f>INDEX(products!$A$1:$G$49,MATCH(orders!$D98,products!$A$1:$A$49,0),MATCH($I$1,products!$A$1:$G$1,0))</f>
        <v>Ara</v>
      </c>
      <c r="J98" t="str">
        <f>INDEX(products!$A$1:$G$49,MATCH(orders!$D98,products!$A$1:$A$49,0),MATCH($J$1,products!$A$1:$G$1,0))</f>
        <v>D</v>
      </c>
      <c r="K98" s="1">
        <f>INDEX(products!$A$1:$G$49,MATCH(orders!$D98,products!$A$1:$A$49,0),MATCH($K$1,products!$A$1:$G$1,0))</f>
        <v>0.2</v>
      </c>
      <c r="L98">
        <f>INDEX(products!$A$1:$G$49,MATCH(orders!$D98,products!$A$1:$A$49,0),MATCH($L$1,products!$A$1:$G$1,0))</f>
        <v>2.9849999999999999</v>
      </c>
      <c r="M98">
        <f t="shared" si="4"/>
        <v>5.97</v>
      </c>
      <c r="N98" t="str">
        <f t="shared" si="5"/>
        <v>Arabica</v>
      </c>
      <c r="O98" t="str">
        <f t="shared" si="6"/>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_xlfn.XLOOKUP(C99,customers!$A$2:$A$1001,customers!$B$2:$B$1001,0)</f>
        <v>Ilysa Whapple</v>
      </c>
      <c r="G99" s="2" t="str">
        <f>_xlfn.XLOOKUP(C99,customers!$A$2:$A$1001,customers!$C$2:$C$1001,0)</f>
        <v>iwhapple2p@com.com</v>
      </c>
      <c r="H99" s="2" t="str">
        <f>_xlfn.XLOOKUP(orders!C99,customers!$A$2:$A$1001,customers!$G$2:$G$1001,0)</f>
        <v>United States</v>
      </c>
      <c r="I99" t="str">
        <f>INDEX(products!$A$1:$G$49,MATCH(orders!$D99,products!$A$1:$A$49,0),MATCH($I$1,products!$A$1:$G$1,0))</f>
        <v>Ara</v>
      </c>
      <c r="J99" t="str">
        <f>INDEX(products!$A$1:$G$49,MATCH(orders!$D99,products!$A$1:$A$49,0),MATCH($J$1,products!$A$1:$G$1,0))</f>
        <v>M</v>
      </c>
      <c r="K99" s="1">
        <f>INDEX(products!$A$1:$G$49,MATCH(orders!$D99,products!$A$1:$A$49,0),MATCH($K$1,products!$A$1:$G$1,0))</f>
        <v>0.5</v>
      </c>
      <c r="L99">
        <f>INDEX(products!$A$1:$G$49,MATCH(orders!$D99,products!$A$1:$A$49,0),MATCH($L$1,products!$A$1:$G$1,0))</f>
        <v>6.75</v>
      </c>
      <c r="M99">
        <f t="shared" si="4"/>
        <v>13.5</v>
      </c>
      <c r="N99" t="str">
        <f t="shared" si="5"/>
        <v>Arabica</v>
      </c>
      <c r="O99" t="str">
        <f t="shared" si="6"/>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_xlfn.XLOOKUP(C100,customers!$A$2:$A$1001,customers!$B$2:$B$1001,0)</f>
        <v>Ruy Cancellieri</v>
      </c>
      <c r="G100" s="2">
        <f>_xlfn.XLOOKUP(C100,customers!$A$2:$A$1001,customers!$C$2:$C$1001,0)</f>
        <v>0</v>
      </c>
      <c r="H100" s="2" t="str">
        <f>_xlfn.XLOOKUP(orders!C100,customers!$A$2:$A$1001,customers!$G$2:$G$1001,0)</f>
        <v>Ireland</v>
      </c>
      <c r="I100" t="str">
        <f>INDEX(products!$A$1:$G$49,MATCH(orders!$D100,products!$A$1:$A$49,0),MATCH($I$1,products!$A$1:$G$1,0))</f>
        <v>Ara</v>
      </c>
      <c r="J100" t="str">
        <f>INDEX(products!$A$1:$G$49,MATCH(orders!$D100,products!$A$1:$A$49,0),MATCH($J$1,products!$A$1:$G$1,0))</f>
        <v>D</v>
      </c>
      <c r="K100" s="1">
        <f>INDEX(products!$A$1:$G$49,MATCH(orders!$D100,products!$A$1:$A$49,0),MATCH($K$1,products!$A$1:$G$1,0))</f>
        <v>0.2</v>
      </c>
      <c r="L100">
        <f>INDEX(products!$A$1:$G$49,MATCH(orders!$D100,products!$A$1:$A$49,0),MATCH($L$1,products!$A$1:$G$1,0))</f>
        <v>2.9849999999999999</v>
      </c>
      <c r="M100">
        <f t="shared" si="4"/>
        <v>2.9849999999999999</v>
      </c>
      <c r="N100" t="str">
        <f t="shared" si="5"/>
        <v>Arabica</v>
      </c>
      <c r="O100" t="str">
        <f t="shared" si="6"/>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_xlfn.XLOOKUP(C101,customers!$A$2:$A$1001,customers!$B$2:$B$1001,0)</f>
        <v>Aube Follett</v>
      </c>
      <c r="G101" s="2">
        <f>_xlfn.XLOOKUP(C101,customers!$A$2:$A$1001,customers!$C$2:$C$1001,0)</f>
        <v>0</v>
      </c>
      <c r="H101" s="2" t="str">
        <f>_xlfn.XLOOKUP(orders!C101,customers!$A$2:$A$1001,customers!$G$2:$G$1001,0)</f>
        <v>United States</v>
      </c>
      <c r="I101" t="str">
        <f>INDEX(products!$A$1:$G$49,MATCH(orders!$D101,products!$A$1:$A$49,0),MATCH($I$1,products!$A$1:$G$1,0))</f>
        <v>Lib</v>
      </c>
      <c r="J101" t="str">
        <f>INDEX(products!$A$1:$G$49,MATCH(orders!$D101,products!$A$1:$A$49,0),MATCH($J$1,products!$A$1:$G$1,0))</f>
        <v>M</v>
      </c>
      <c r="K101" s="1">
        <f>INDEX(products!$A$1:$G$49,MATCH(orders!$D101,products!$A$1:$A$49,0),MATCH($K$1,products!$A$1:$G$1,0))</f>
        <v>0.2</v>
      </c>
      <c r="L101">
        <f>INDEX(products!$A$1:$G$49,MATCH(orders!$D101,products!$A$1:$A$49,0),MATCH($L$1,products!$A$1:$G$1,0))</f>
        <v>4.3650000000000002</v>
      </c>
      <c r="M101">
        <f t="shared" si="4"/>
        <v>13.095000000000001</v>
      </c>
      <c r="N101" t="str">
        <f t="shared" si="5"/>
        <v>Liberica</v>
      </c>
      <c r="O101" t="str">
        <f t="shared" si="6"/>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_xlfn.XLOOKUP(C102,customers!$A$2:$A$1001,customers!$B$2:$B$1001,0)</f>
        <v>Rudiger Di Bartolomeo</v>
      </c>
      <c r="G102" s="2">
        <f>_xlfn.XLOOKUP(C102,customers!$A$2:$A$1001,customers!$C$2:$C$1001,0)</f>
        <v>0</v>
      </c>
      <c r="H102" s="2" t="str">
        <f>_xlfn.XLOOKUP(orders!C102,customers!$A$2:$A$1001,customers!$G$2:$G$1001,0)</f>
        <v>United States</v>
      </c>
      <c r="I102" t="str">
        <f>INDEX(products!$A$1:$G$49,MATCH(orders!$D102,products!$A$1:$A$49,0),MATCH($I$1,products!$A$1:$G$1,0))</f>
        <v>Ara</v>
      </c>
      <c r="J102" t="str">
        <f>INDEX(products!$A$1:$G$49,MATCH(orders!$D102,products!$A$1:$A$49,0),MATCH($J$1,products!$A$1:$G$1,0))</f>
        <v>L</v>
      </c>
      <c r="K102" s="1">
        <f>INDEX(products!$A$1:$G$49,MATCH(orders!$D102,products!$A$1:$A$49,0),MATCH($K$1,products!$A$1:$G$1,0))</f>
        <v>0.2</v>
      </c>
      <c r="L102">
        <f>INDEX(products!$A$1:$G$49,MATCH(orders!$D102,products!$A$1:$A$49,0),MATCH($L$1,products!$A$1:$G$1,0))</f>
        <v>3.8849999999999998</v>
      </c>
      <c r="M102">
        <f t="shared" si="4"/>
        <v>7.77</v>
      </c>
      <c r="N102" t="str">
        <f t="shared" si="5"/>
        <v>Arabica</v>
      </c>
      <c r="O102" t="str">
        <f t="shared" si="6"/>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_xlfn.XLOOKUP(C103,customers!$A$2:$A$1001,customers!$B$2:$B$1001,0)</f>
        <v>Nickey Youles</v>
      </c>
      <c r="G103" s="2" t="str">
        <f>_xlfn.XLOOKUP(C103,customers!$A$2:$A$1001,customers!$C$2:$C$1001,0)</f>
        <v>nyoules2t@reference.com</v>
      </c>
      <c r="H103" s="2" t="str">
        <f>_xlfn.XLOOKUP(orders!C103,customers!$A$2:$A$1001,customers!$G$2:$G$1001,0)</f>
        <v>Ireland</v>
      </c>
      <c r="I103" t="str">
        <f>INDEX(products!$A$1:$G$49,MATCH(orders!$D103,products!$A$1:$A$49,0),MATCH($I$1,products!$A$1:$G$1,0))</f>
        <v>Lib</v>
      </c>
      <c r="J103" t="str">
        <f>INDEX(products!$A$1:$G$49,MATCH(orders!$D103,products!$A$1:$A$49,0),MATCH($J$1,products!$A$1:$G$1,0))</f>
        <v>D</v>
      </c>
      <c r="K103" s="1">
        <f>INDEX(products!$A$1:$G$49,MATCH(orders!$D103,products!$A$1:$A$49,0),MATCH($K$1,products!$A$1:$G$1,0))</f>
        <v>2.5</v>
      </c>
      <c r="L103">
        <f>INDEX(products!$A$1:$G$49,MATCH(orders!$D103,products!$A$1:$A$49,0),MATCH($L$1,products!$A$1:$G$1,0))</f>
        <v>29.784999999999997</v>
      </c>
      <c r="M103">
        <f t="shared" si="4"/>
        <v>148.92499999999998</v>
      </c>
      <c r="N103" t="str">
        <f t="shared" si="5"/>
        <v>Liberica</v>
      </c>
      <c r="O103" t="str">
        <f t="shared" si="6"/>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_xlfn.XLOOKUP(C104,customers!$A$2:$A$1001,customers!$B$2:$B$1001,0)</f>
        <v>Dyanna Aizikovitz</v>
      </c>
      <c r="G104" s="2" t="str">
        <f>_xlfn.XLOOKUP(C104,customers!$A$2:$A$1001,customers!$C$2:$C$1001,0)</f>
        <v>daizikovitz2u@answers.com</v>
      </c>
      <c r="H104" s="2" t="str">
        <f>_xlfn.XLOOKUP(orders!C104,customers!$A$2:$A$1001,customers!$G$2:$G$1001,0)</f>
        <v>Ireland</v>
      </c>
      <c r="I104" t="str">
        <f>INDEX(products!$A$1:$G$49,MATCH(orders!$D104,products!$A$1:$A$49,0),MATCH($I$1,products!$A$1:$G$1,0))</f>
        <v>Lib</v>
      </c>
      <c r="J104" t="str">
        <f>INDEX(products!$A$1:$G$49,MATCH(orders!$D104,products!$A$1:$A$49,0),MATCH($J$1,products!$A$1:$G$1,0))</f>
        <v>D</v>
      </c>
      <c r="K104" s="1">
        <f>INDEX(products!$A$1:$G$49,MATCH(orders!$D104,products!$A$1:$A$49,0),MATCH($K$1,products!$A$1:$G$1,0))</f>
        <v>1</v>
      </c>
      <c r="L104">
        <f>INDEX(products!$A$1:$G$49,MATCH(orders!$D104,products!$A$1:$A$49,0),MATCH($L$1,products!$A$1:$G$1,0))</f>
        <v>12.95</v>
      </c>
      <c r="M104">
        <f t="shared" si="4"/>
        <v>38.849999999999994</v>
      </c>
      <c r="N104" t="str">
        <f t="shared" si="5"/>
        <v>Liberica</v>
      </c>
      <c r="O104" t="str">
        <f t="shared" si="6"/>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_xlfn.XLOOKUP(C105,customers!$A$2:$A$1001,customers!$B$2:$B$1001,0)</f>
        <v>Bram Revel</v>
      </c>
      <c r="G105" s="2" t="str">
        <f>_xlfn.XLOOKUP(C105,customers!$A$2:$A$1001,customers!$C$2:$C$1001,0)</f>
        <v>brevel2v@fastcompany.com</v>
      </c>
      <c r="H105" s="2" t="str">
        <f>_xlfn.XLOOKUP(orders!C105,customers!$A$2:$A$1001,customers!$G$2:$G$1001,0)</f>
        <v>United States</v>
      </c>
      <c r="I105" t="str">
        <f>INDEX(products!$A$1:$G$49,MATCH(orders!$D105,products!$A$1:$A$49,0),MATCH($I$1,products!$A$1:$G$1,0))</f>
        <v>Rob</v>
      </c>
      <c r="J105" t="str">
        <f>INDEX(products!$A$1:$G$49,MATCH(orders!$D105,products!$A$1:$A$49,0),MATCH($J$1,products!$A$1:$G$1,0))</f>
        <v>M</v>
      </c>
      <c r="K105" s="1">
        <f>INDEX(products!$A$1:$G$49,MATCH(orders!$D105,products!$A$1:$A$49,0),MATCH($K$1,products!$A$1:$G$1,0))</f>
        <v>0.2</v>
      </c>
      <c r="L105">
        <f>INDEX(products!$A$1:$G$49,MATCH(orders!$D105,products!$A$1:$A$49,0),MATCH($L$1,products!$A$1:$G$1,0))</f>
        <v>2.9849999999999999</v>
      </c>
      <c r="M105">
        <f t="shared" si="4"/>
        <v>11.94</v>
      </c>
      <c r="N105" t="str">
        <f t="shared" si="5"/>
        <v>Robusta</v>
      </c>
      <c r="O105" t="str">
        <f t="shared" si="6"/>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_xlfn.XLOOKUP(C106,customers!$A$2:$A$1001,customers!$B$2:$B$1001,0)</f>
        <v>Emiline Priddis</v>
      </c>
      <c r="G106" s="2" t="str">
        <f>_xlfn.XLOOKUP(C106,customers!$A$2:$A$1001,customers!$C$2:$C$1001,0)</f>
        <v>epriddis2w@nationalgeographic.com</v>
      </c>
      <c r="H106" s="2" t="str">
        <f>_xlfn.XLOOKUP(orders!C106,customers!$A$2:$A$1001,customers!$G$2:$G$1001,0)</f>
        <v>United States</v>
      </c>
      <c r="I106" t="str">
        <f>INDEX(products!$A$1:$G$49,MATCH(orders!$D106,products!$A$1:$A$49,0),MATCH($I$1,products!$A$1:$G$1,0))</f>
        <v>Lib</v>
      </c>
      <c r="J106" t="str">
        <f>INDEX(products!$A$1:$G$49,MATCH(orders!$D106,products!$A$1:$A$49,0),MATCH($J$1,products!$A$1:$G$1,0))</f>
        <v>M</v>
      </c>
      <c r="K106" s="1">
        <f>INDEX(products!$A$1:$G$49,MATCH(orders!$D106,products!$A$1:$A$49,0),MATCH($K$1,products!$A$1:$G$1,0))</f>
        <v>1</v>
      </c>
      <c r="L106">
        <f>INDEX(products!$A$1:$G$49,MATCH(orders!$D106,products!$A$1:$A$49,0),MATCH($L$1,products!$A$1:$G$1,0))</f>
        <v>14.55</v>
      </c>
      <c r="M106">
        <f t="shared" si="4"/>
        <v>87.300000000000011</v>
      </c>
      <c r="N106" t="str">
        <f t="shared" si="5"/>
        <v>Liberica</v>
      </c>
      <c r="O106" t="str">
        <f t="shared" si="6"/>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_xlfn.XLOOKUP(C107,customers!$A$2:$A$1001,customers!$B$2:$B$1001,0)</f>
        <v>Queenie Veel</v>
      </c>
      <c r="G107" s="2" t="str">
        <f>_xlfn.XLOOKUP(C107,customers!$A$2:$A$1001,customers!$C$2:$C$1001,0)</f>
        <v>qveel2x@jugem.jp</v>
      </c>
      <c r="H107" s="2" t="str">
        <f>_xlfn.XLOOKUP(orders!C107,customers!$A$2:$A$1001,customers!$G$2:$G$1001,0)</f>
        <v>United States</v>
      </c>
      <c r="I107" t="str">
        <f>INDEX(products!$A$1:$G$49,MATCH(orders!$D107,products!$A$1:$A$49,0),MATCH($I$1,products!$A$1:$G$1,0))</f>
        <v>Ara</v>
      </c>
      <c r="J107" t="str">
        <f>INDEX(products!$A$1:$G$49,MATCH(orders!$D107,products!$A$1:$A$49,0),MATCH($J$1,products!$A$1:$G$1,0))</f>
        <v>M</v>
      </c>
      <c r="K107" s="1">
        <f>INDEX(products!$A$1:$G$49,MATCH(orders!$D107,products!$A$1:$A$49,0),MATCH($K$1,products!$A$1:$G$1,0))</f>
        <v>0.5</v>
      </c>
      <c r="L107">
        <f>INDEX(products!$A$1:$G$49,MATCH(orders!$D107,products!$A$1:$A$49,0),MATCH($L$1,products!$A$1:$G$1,0))</f>
        <v>6.75</v>
      </c>
      <c r="M107">
        <f t="shared" si="4"/>
        <v>40.5</v>
      </c>
      <c r="N107" t="str">
        <f t="shared" si="5"/>
        <v>Arabica</v>
      </c>
      <c r="O107" t="str">
        <f t="shared" si="6"/>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_xlfn.XLOOKUP(C108,customers!$A$2:$A$1001,customers!$B$2:$B$1001,0)</f>
        <v>Lind Conyers</v>
      </c>
      <c r="G108" s="2" t="str">
        <f>_xlfn.XLOOKUP(C108,customers!$A$2:$A$1001,customers!$C$2:$C$1001,0)</f>
        <v>lconyers2y@twitter.com</v>
      </c>
      <c r="H108" s="2" t="str">
        <f>_xlfn.XLOOKUP(orders!C108,customers!$A$2:$A$1001,customers!$G$2:$G$1001,0)</f>
        <v>United States</v>
      </c>
      <c r="I108" t="str">
        <f>INDEX(products!$A$1:$G$49,MATCH(orders!$D108,products!$A$1:$A$49,0),MATCH($I$1,products!$A$1:$G$1,0))</f>
        <v>Exc</v>
      </c>
      <c r="J108" t="str">
        <f>INDEX(products!$A$1:$G$49,MATCH(orders!$D108,products!$A$1:$A$49,0),MATCH($J$1,products!$A$1:$G$1,0))</f>
        <v>D</v>
      </c>
      <c r="K108" s="1">
        <f>INDEX(products!$A$1:$G$49,MATCH(orders!$D108,products!$A$1:$A$49,0),MATCH($K$1,products!$A$1:$G$1,0))</f>
        <v>1</v>
      </c>
      <c r="L108">
        <f>INDEX(products!$A$1:$G$49,MATCH(orders!$D108,products!$A$1:$A$49,0),MATCH($L$1,products!$A$1:$G$1,0))</f>
        <v>12.15</v>
      </c>
      <c r="M108">
        <f t="shared" si="4"/>
        <v>24.3</v>
      </c>
      <c r="N108" t="str">
        <f t="shared" si="5"/>
        <v>Excelsa</v>
      </c>
      <c r="O108" t="str">
        <f t="shared" si="6"/>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_xlfn.XLOOKUP(C109,customers!$A$2:$A$1001,customers!$B$2:$B$1001,0)</f>
        <v>Pen Wye</v>
      </c>
      <c r="G109" s="2" t="str">
        <f>_xlfn.XLOOKUP(C109,customers!$A$2:$A$1001,customers!$C$2:$C$1001,0)</f>
        <v>pwye2z@dagondesign.com</v>
      </c>
      <c r="H109" s="2" t="str">
        <f>_xlfn.XLOOKUP(orders!C109,customers!$A$2:$A$1001,customers!$G$2:$G$1001,0)</f>
        <v>United States</v>
      </c>
      <c r="I109" t="str">
        <f>INDEX(products!$A$1:$G$49,MATCH(orders!$D109,products!$A$1:$A$49,0),MATCH($I$1,products!$A$1:$G$1,0))</f>
        <v>Rob</v>
      </c>
      <c r="J109" t="str">
        <f>INDEX(products!$A$1:$G$49,MATCH(orders!$D109,products!$A$1:$A$49,0),MATCH($J$1,products!$A$1:$G$1,0))</f>
        <v>M</v>
      </c>
      <c r="K109" s="1">
        <f>INDEX(products!$A$1:$G$49,MATCH(orders!$D109,products!$A$1:$A$49,0),MATCH($K$1,products!$A$1:$G$1,0))</f>
        <v>0.5</v>
      </c>
      <c r="L109">
        <f>INDEX(products!$A$1:$G$49,MATCH(orders!$D109,products!$A$1:$A$49,0),MATCH($L$1,products!$A$1:$G$1,0))</f>
        <v>5.97</v>
      </c>
      <c r="M109">
        <f t="shared" si="4"/>
        <v>17.91</v>
      </c>
      <c r="N109" t="str">
        <f t="shared" si="5"/>
        <v>Robusta</v>
      </c>
      <c r="O109" t="str">
        <f t="shared" si="6"/>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_xlfn.XLOOKUP(C110,customers!$A$2:$A$1001,customers!$B$2:$B$1001,0)</f>
        <v>Isahella Hagland</v>
      </c>
      <c r="G110" s="2">
        <f>_xlfn.XLOOKUP(C110,customers!$A$2:$A$1001,customers!$C$2:$C$1001,0)</f>
        <v>0</v>
      </c>
      <c r="H110" s="2" t="str">
        <f>_xlfn.XLOOKUP(orders!C110,customers!$A$2:$A$1001,customers!$G$2:$G$1001,0)</f>
        <v>United States</v>
      </c>
      <c r="I110" t="str">
        <f>INDEX(products!$A$1:$G$49,MATCH(orders!$D110,products!$A$1:$A$49,0),MATCH($I$1,products!$A$1:$G$1,0))</f>
        <v>Ara</v>
      </c>
      <c r="J110" t="str">
        <f>INDEX(products!$A$1:$G$49,MATCH(orders!$D110,products!$A$1:$A$49,0),MATCH($J$1,products!$A$1:$G$1,0))</f>
        <v>M</v>
      </c>
      <c r="K110" s="1">
        <f>INDEX(products!$A$1:$G$49,MATCH(orders!$D110,products!$A$1:$A$49,0),MATCH($K$1,products!$A$1:$G$1,0))</f>
        <v>0.5</v>
      </c>
      <c r="L110">
        <f>INDEX(products!$A$1:$G$49,MATCH(orders!$D110,products!$A$1:$A$49,0),MATCH($L$1,products!$A$1:$G$1,0))</f>
        <v>6.75</v>
      </c>
      <c r="M110">
        <f t="shared" si="4"/>
        <v>27</v>
      </c>
      <c r="N110" t="str">
        <f t="shared" si="5"/>
        <v>Arabica</v>
      </c>
      <c r="O110" t="str">
        <f t="shared" si="6"/>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_xlfn.XLOOKUP(C111,customers!$A$2:$A$1001,customers!$B$2:$B$1001,0)</f>
        <v>Terry Sheryn</v>
      </c>
      <c r="G111" s="2" t="str">
        <f>_xlfn.XLOOKUP(C111,customers!$A$2:$A$1001,customers!$C$2:$C$1001,0)</f>
        <v>tsheryn31@mtv.com</v>
      </c>
      <c r="H111" s="2" t="str">
        <f>_xlfn.XLOOKUP(orders!C111,customers!$A$2:$A$1001,customers!$G$2:$G$1001,0)</f>
        <v>United States</v>
      </c>
      <c r="I111" t="str">
        <f>INDEX(products!$A$1:$G$49,MATCH(orders!$D111,products!$A$1:$A$49,0),MATCH($I$1,products!$A$1:$G$1,0))</f>
        <v>Lib</v>
      </c>
      <c r="J111" t="str">
        <f>INDEX(products!$A$1:$G$49,MATCH(orders!$D111,products!$A$1:$A$49,0),MATCH($J$1,products!$A$1:$G$1,0))</f>
        <v>D</v>
      </c>
      <c r="K111" s="1">
        <f>INDEX(products!$A$1:$G$49,MATCH(orders!$D111,products!$A$1:$A$49,0),MATCH($K$1,products!$A$1:$G$1,0))</f>
        <v>0.5</v>
      </c>
      <c r="L111">
        <f>INDEX(products!$A$1:$G$49,MATCH(orders!$D111,products!$A$1:$A$49,0),MATCH($L$1,products!$A$1:$G$1,0))</f>
        <v>7.77</v>
      </c>
      <c r="M111">
        <f t="shared" si="4"/>
        <v>7.77</v>
      </c>
      <c r="N111" t="str">
        <f t="shared" si="5"/>
        <v>Liberica</v>
      </c>
      <c r="O111" t="str">
        <f t="shared" si="6"/>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_xlfn.XLOOKUP(C112,customers!$A$2:$A$1001,customers!$B$2:$B$1001,0)</f>
        <v>Marie-jeanne Redgrave</v>
      </c>
      <c r="G112" s="2" t="str">
        <f>_xlfn.XLOOKUP(C112,customers!$A$2:$A$1001,customers!$C$2:$C$1001,0)</f>
        <v>mredgrave32@cargocollective.com</v>
      </c>
      <c r="H112" s="2" t="str">
        <f>_xlfn.XLOOKUP(orders!C112,customers!$A$2:$A$1001,customers!$G$2:$G$1001,0)</f>
        <v>United States</v>
      </c>
      <c r="I112" t="str">
        <f>INDEX(products!$A$1:$G$49,MATCH(orders!$D112,products!$A$1:$A$49,0),MATCH($I$1,products!$A$1:$G$1,0))</f>
        <v>Exc</v>
      </c>
      <c r="J112" t="str">
        <f>INDEX(products!$A$1:$G$49,MATCH(orders!$D112,products!$A$1:$A$49,0),MATCH($J$1,products!$A$1:$G$1,0))</f>
        <v>L</v>
      </c>
      <c r="K112" s="1">
        <f>INDEX(products!$A$1:$G$49,MATCH(orders!$D112,products!$A$1:$A$49,0),MATCH($K$1,products!$A$1:$G$1,0))</f>
        <v>0.2</v>
      </c>
      <c r="L112">
        <f>INDEX(products!$A$1:$G$49,MATCH(orders!$D112,products!$A$1:$A$49,0),MATCH($L$1,products!$A$1:$G$1,0))</f>
        <v>4.4550000000000001</v>
      </c>
      <c r="M112">
        <f t="shared" si="4"/>
        <v>13.365</v>
      </c>
      <c r="N112" t="str">
        <f t="shared" si="5"/>
        <v>Excelsa</v>
      </c>
      <c r="O112" t="str">
        <f t="shared" si="6"/>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_xlfn.XLOOKUP(C113,customers!$A$2:$A$1001,customers!$B$2:$B$1001,0)</f>
        <v>Betty Fominov</v>
      </c>
      <c r="G113" s="2" t="str">
        <f>_xlfn.XLOOKUP(C113,customers!$A$2:$A$1001,customers!$C$2:$C$1001,0)</f>
        <v>bfominov33@yale.edu</v>
      </c>
      <c r="H113" s="2" t="str">
        <f>_xlfn.XLOOKUP(orders!C113,customers!$A$2:$A$1001,customers!$G$2:$G$1001,0)</f>
        <v>United States</v>
      </c>
      <c r="I113" t="str">
        <f>INDEX(products!$A$1:$G$49,MATCH(orders!$D113,products!$A$1:$A$49,0),MATCH($I$1,products!$A$1:$G$1,0))</f>
        <v>Rob</v>
      </c>
      <c r="J113" t="str">
        <f>INDEX(products!$A$1:$G$49,MATCH(orders!$D113,products!$A$1:$A$49,0),MATCH($J$1,products!$A$1:$G$1,0))</f>
        <v>D</v>
      </c>
      <c r="K113" s="1">
        <f>INDEX(products!$A$1:$G$49,MATCH(orders!$D113,products!$A$1:$A$49,0),MATCH($K$1,products!$A$1:$G$1,0))</f>
        <v>0.5</v>
      </c>
      <c r="L113">
        <f>INDEX(products!$A$1:$G$49,MATCH(orders!$D113,products!$A$1:$A$49,0),MATCH($L$1,products!$A$1:$G$1,0))</f>
        <v>5.3699999999999992</v>
      </c>
      <c r="M113">
        <f t="shared" si="4"/>
        <v>26.849999999999994</v>
      </c>
      <c r="N113" t="str">
        <f t="shared" si="5"/>
        <v>Robusta</v>
      </c>
      <c r="O113" t="str">
        <f t="shared" si="6"/>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_xlfn.XLOOKUP(C114,customers!$A$2:$A$1001,customers!$B$2:$B$1001,0)</f>
        <v>Shawnee Critchlow</v>
      </c>
      <c r="G114" s="2" t="str">
        <f>_xlfn.XLOOKUP(C114,customers!$A$2:$A$1001,customers!$C$2:$C$1001,0)</f>
        <v>scritchlow34@un.org</v>
      </c>
      <c r="H114" s="2" t="str">
        <f>_xlfn.XLOOKUP(orders!C114,customers!$A$2:$A$1001,customers!$G$2:$G$1001,0)</f>
        <v>United States</v>
      </c>
      <c r="I114" t="str">
        <f>INDEX(products!$A$1:$G$49,MATCH(orders!$D114,products!$A$1:$A$49,0),MATCH($I$1,products!$A$1:$G$1,0))</f>
        <v>Ara</v>
      </c>
      <c r="J114" t="str">
        <f>INDEX(products!$A$1:$G$49,MATCH(orders!$D114,products!$A$1:$A$49,0),MATCH($J$1,products!$A$1:$G$1,0))</f>
        <v>M</v>
      </c>
      <c r="K114" s="1">
        <f>INDEX(products!$A$1:$G$49,MATCH(orders!$D114,products!$A$1:$A$49,0),MATCH($K$1,products!$A$1:$G$1,0))</f>
        <v>1</v>
      </c>
      <c r="L114">
        <f>INDEX(products!$A$1:$G$49,MATCH(orders!$D114,products!$A$1:$A$49,0),MATCH($L$1,products!$A$1:$G$1,0))</f>
        <v>11.25</v>
      </c>
      <c r="M114">
        <f t="shared" si="4"/>
        <v>11.25</v>
      </c>
      <c r="N114" t="str">
        <f t="shared" si="5"/>
        <v>Arabica</v>
      </c>
      <c r="O114" t="str">
        <f t="shared" si="6"/>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_xlfn.XLOOKUP(C115,customers!$A$2:$A$1001,customers!$B$2:$B$1001,0)</f>
        <v>Merrel Steptow</v>
      </c>
      <c r="G115" s="2" t="str">
        <f>_xlfn.XLOOKUP(C115,customers!$A$2:$A$1001,customers!$C$2:$C$1001,0)</f>
        <v>msteptow35@earthlink.net</v>
      </c>
      <c r="H115" s="2" t="str">
        <f>_xlfn.XLOOKUP(orders!C115,customers!$A$2:$A$1001,customers!$G$2:$G$1001,0)</f>
        <v>Ireland</v>
      </c>
      <c r="I115" t="str">
        <f>INDEX(products!$A$1:$G$49,MATCH(orders!$D115,products!$A$1:$A$49,0),MATCH($I$1,products!$A$1:$G$1,0))</f>
        <v>Lib</v>
      </c>
      <c r="J115" t="str">
        <f>INDEX(products!$A$1:$G$49,MATCH(orders!$D115,products!$A$1:$A$49,0),MATCH($J$1,products!$A$1:$G$1,0))</f>
        <v>M</v>
      </c>
      <c r="K115" s="1">
        <f>INDEX(products!$A$1:$G$49,MATCH(orders!$D115,products!$A$1:$A$49,0),MATCH($K$1,products!$A$1:$G$1,0))</f>
        <v>1</v>
      </c>
      <c r="L115">
        <f>INDEX(products!$A$1:$G$49,MATCH(orders!$D115,products!$A$1:$A$49,0),MATCH($L$1,products!$A$1:$G$1,0))</f>
        <v>14.55</v>
      </c>
      <c r="M115">
        <f t="shared" si="4"/>
        <v>14.55</v>
      </c>
      <c r="N115" t="str">
        <f t="shared" si="5"/>
        <v>Liberica</v>
      </c>
      <c r="O115" t="str">
        <f t="shared" si="6"/>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_xlfn.XLOOKUP(C116,customers!$A$2:$A$1001,customers!$B$2:$B$1001,0)</f>
        <v>Carmina Hubbuck</v>
      </c>
      <c r="G116" s="2">
        <f>_xlfn.XLOOKUP(C116,customers!$A$2:$A$1001,customers!$C$2:$C$1001,0)</f>
        <v>0</v>
      </c>
      <c r="H116" s="2" t="str">
        <f>_xlfn.XLOOKUP(orders!C116,customers!$A$2:$A$1001,customers!$G$2:$G$1001,0)</f>
        <v>United States</v>
      </c>
      <c r="I116" t="str">
        <f>INDEX(products!$A$1:$G$49,MATCH(orders!$D116,products!$A$1:$A$49,0),MATCH($I$1,products!$A$1:$G$1,0))</f>
        <v>Rob</v>
      </c>
      <c r="J116" t="str">
        <f>INDEX(products!$A$1:$G$49,MATCH(orders!$D116,products!$A$1:$A$49,0),MATCH($J$1,products!$A$1:$G$1,0))</f>
        <v>L</v>
      </c>
      <c r="K116" s="1">
        <f>INDEX(products!$A$1:$G$49,MATCH(orders!$D116,products!$A$1:$A$49,0),MATCH($K$1,products!$A$1:$G$1,0))</f>
        <v>0.2</v>
      </c>
      <c r="L116">
        <f>INDEX(products!$A$1:$G$49,MATCH(orders!$D116,products!$A$1:$A$49,0),MATCH($L$1,products!$A$1:$G$1,0))</f>
        <v>3.5849999999999995</v>
      </c>
      <c r="M116">
        <f t="shared" si="4"/>
        <v>14.339999999999998</v>
      </c>
      <c r="N116" t="str">
        <f t="shared" si="5"/>
        <v>Robusta</v>
      </c>
      <c r="O116" t="str">
        <f t="shared" si="6"/>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_xlfn.XLOOKUP(C117,customers!$A$2:$A$1001,customers!$B$2:$B$1001,0)</f>
        <v>Ingeberg Mulliner</v>
      </c>
      <c r="G117" s="2" t="str">
        <f>_xlfn.XLOOKUP(C117,customers!$A$2:$A$1001,customers!$C$2:$C$1001,0)</f>
        <v>imulliner37@pinterest.com</v>
      </c>
      <c r="H117" s="2" t="str">
        <f>_xlfn.XLOOKUP(orders!C117,customers!$A$2:$A$1001,customers!$G$2:$G$1001,0)</f>
        <v>United Kingdom</v>
      </c>
      <c r="I117" t="str">
        <f>INDEX(products!$A$1:$G$49,MATCH(orders!$D117,products!$A$1:$A$49,0),MATCH($I$1,products!$A$1:$G$1,0))</f>
        <v>Lib</v>
      </c>
      <c r="J117" t="str">
        <f>INDEX(products!$A$1:$G$49,MATCH(orders!$D117,products!$A$1:$A$49,0),MATCH($J$1,products!$A$1:$G$1,0))</f>
        <v>L</v>
      </c>
      <c r="K117" s="1">
        <f>INDEX(products!$A$1:$G$49,MATCH(orders!$D117,products!$A$1:$A$49,0),MATCH($K$1,products!$A$1:$G$1,0))</f>
        <v>1</v>
      </c>
      <c r="L117">
        <f>INDEX(products!$A$1:$G$49,MATCH(orders!$D117,products!$A$1:$A$49,0),MATCH($L$1,products!$A$1:$G$1,0))</f>
        <v>15.85</v>
      </c>
      <c r="M117">
        <f t="shared" si="4"/>
        <v>15.85</v>
      </c>
      <c r="N117" t="str">
        <f t="shared" si="5"/>
        <v>Liberica</v>
      </c>
      <c r="O117" t="str">
        <f t="shared" si="6"/>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_xlfn.XLOOKUP(C118,customers!$A$2:$A$1001,customers!$B$2:$B$1001,0)</f>
        <v>Geneva Standley</v>
      </c>
      <c r="G118" s="2" t="str">
        <f>_xlfn.XLOOKUP(C118,customers!$A$2:$A$1001,customers!$C$2:$C$1001,0)</f>
        <v>gstandley38@dion.ne.jp</v>
      </c>
      <c r="H118" s="2" t="str">
        <f>_xlfn.XLOOKUP(orders!C118,customers!$A$2:$A$1001,customers!$G$2:$G$1001,0)</f>
        <v>Ireland</v>
      </c>
      <c r="I118" t="str">
        <f>INDEX(products!$A$1:$G$49,MATCH(orders!$D118,products!$A$1:$A$49,0),MATCH($I$1,products!$A$1:$G$1,0))</f>
        <v>Lib</v>
      </c>
      <c r="J118" t="str">
        <f>INDEX(products!$A$1:$G$49,MATCH(orders!$D118,products!$A$1:$A$49,0),MATCH($J$1,products!$A$1:$G$1,0))</f>
        <v>L</v>
      </c>
      <c r="K118" s="1">
        <f>INDEX(products!$A$1:$G$49,MATCH(orders!$D118,products!$A$1:$A$49,0),MATCH($K$1,products!$A$1:$G$1,0))</f>
        <v>0.2</v>
      </c>
      <c r="L118">
        <f>INDEX(products!$A$1:$G$49,MATCH(orders!$D118,products!$A$1:$A$49,0),MATCH($L$1,products!$A$1:$G$1,0))</f>
        <v>4.7549999999999999</v>
      </c>
      <c r="M118">
        <f t="shared" si="4"/>
        <v>19.02</v>
      </c>
      <c r="N118" t="str">
        <f t="shared" si="5"/>
        <v>Liberica</v>
      </c>
      <c r="O118" t="str">
        <f t="shared" si="6"/>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_xlfn.XLOOKUP(C119,customers!$A$2:$A$1001,customers!$B$2:$B$1001,0)</f>
        <v>Brook Drage</v>
      </c>
      <c r="G119" s="2" t="str">
        <f>_xlfn.XLOOKUP(C119,customers!$A$2:$A$1001,customers!$C$2:$C$1001,0)</f>
        <v>bdrage39@youku.com</v>
      </c>
      <c r="H119" s="2" t="str">
        <f>_xlfn.XLOOKUP(orders!C119,customers!$A$2:$A$1001,customers!$G$2:$G$1001,0)</f>
        <v>United States</v>
      </c>
      <c r="I119" t="str">
        <f>INDEX(products!$A$1:$G$49,MATCH(orders!$D119,products!$A$1:$A$49,0),MATCH($I$1,products!$A$1:$G$1,0))</f>
        <v>Lib</v>
      </c>
      <c r="J119" t="str">
        <f>INDEX(products!$A$1:$G$49,MATCH(orders!$D119,products!$A$1:$A$49,0),MATCH($J$1,products!$A$1:$G$1,0))</f>
        <v>L</v>
      </c>
      <c r="K119" s="1">
        <f>INDEX(products!$A$1:$G$49,MATCH(orders!$D119,products!$A$1:$A$49,0),MATCH($K$1,products!$A$1:$G$1,0))</f>
        <v>0.5</v>
      </c>
      <c r="L119">
        <f>INDEX(products!$A$1:$G$49,MATCH(orders!$D119,products!$A$1:$A$49,0),MATCH($L$1,products!$A$1:$G$1,0))</f>
        <v>9.51</v>
      </c>
      <c r="M119">
        <f t="shared" si="4"/>
        <v>38.04</v>
      </c>
      <c r="N119" t="str">
        <f t="shared" si="5"/>
        <v>Liberica</v>
      </c>
      <c r="O119" t="str">
        <f t="shared" si="6"/>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_xlfn.XLOOKUP(C120,customers!$A$2:$A$1001,customers!$B$2:$B$1001,0)</f>
        <v>Muffin Yallop</v>
      </c>
      <c r="G120" s="2" t="str">
        <f>_xlfn.XLOOKUP(C120,customers!$A$2:$A$1001,customers!$C$2:$C$1001,0)</f>
        <v>myallop3a@fema.gov</v>
      </c>
      <c r="H120" s="2" t="str">
        <f>_xlfn.XLOOKUP(orders!C120,customers!$A$2:$A$1001,customers!$G$2:$G$1001,0)</f>
        <v>United States</v>
      </c>
      <c r="I120" t="str">
        <f>INDEX(products!$A$1:$G$49,MATCH(orders!$D120,products!$A$1:$A$49,0),MATCH($I$1,products!$A$1:$G$1,0))</f>
        <v>Exc</v>
      </c>
      <c r="J120" t="str">
        <f>INDEX(products!$A$1:$G$49,MATCH(orders!$D120,products!$A$1:$A$49,0),MATCH($J$1,products!$A$1:$G$1,0))</f>
        <v>D</v>
      </c>
      <c r="K120" s="1">
        <f>INDEX(products!$A$1:$G$49,MATCH(orders!$D120,products!$A$1:$A$49,0),MATCH($K$1,products!$A$1:$G$1,0))</f>
        <v>0.5</v>
      </c>
      <c r="L120">
        <f>INDEX(products!$A$1:$G$49,MATCH(orders!$D120,products!$A$1:$A$49,0),MATCH($L$1,products!$A$1:$G$1,0))</f>
        <v>7.29</v>
      </c>
      <c r="M120">
        <f t="shared" si="4"/>
        <v>21.87</v>
      </c>
      <c r="N120" t="str">
        <f t="shared" si="5"/>
        <v>Excelsa</v>
      </c>
      <c r="O120" t="str">
        <f t="shared" si="6"/>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_xlfn.XLOOKUP(C121,customers!$A$2:$A$1001,customers!$B$2:$B$1001,0)</f>
        <v>Cordi Switsur</v>
      </c>
      <c r="G121" s="2" t="str">
        <f>_xlfn.XLOOKUP(C121,customers!$A$2:$A$1001,customers!$C$2:$C$1001,0)</f>
        <v>cswitsur3b@chronoengine.com</v>
      </c>
      <c r="H121" s="2" t="str">
        <f>_xlfn.XLOOKUP(orders!C121,customers!$A$2:$A$1001,customers!$G$2:$G$1001,0)</f>
        <v>United States</v>
      </c>
      <c r="I121" t="str">
        <f>INDEX(products!$A$1:$G$49,MATCH(orders!$D121,products!$A$1:$A$49,0),MATCH($I$1,products!$A$1:$G$1,0))</f>
        <v>Exc</v>
      </c>
      <c r="J121" t="str">
        <f>INDEX(products!$A$1:$G$49,MATCH(orders!$D121,products!$A$1:$A$49,0),MATCH($J$1,products!$A$1:$G$1,0))</f>
        <v>M</v>
      </c>
      <c r="K121" s="1">
        <f>INDEX(products!$A$1:$G$49,MATCH(orders!$D121,products!$A$1:$A$49,0),MATCH($K$1,products!$A$1:$G$1,0))</f>
        <v>0.2</v>
      </c>
      <c r="L121">
        <f>INDEX(products!$A$1:$G$49,MATCH(orders!$D121,products!$A$1:$A$49,0),MATCH($L$1,products!$A$1:$G$1,0))</f>
        <v>4.125</v>
      </c>
      <c r="M121">
        <f t="shared" si="4"/>
        <v>4.125</v>
      </c>
      <c r="N121" t="str">
        <f t="shared" si="5"/>
        <v>Excelsa</v>
      </c>
      <c r="O121" t="str">
        <f t="shared" si="6"/>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_xlfn.XLOOKUP(C122,customers!$A$2:$A$1001,customers!$B$2:$B$1001,0)</f>
        <v>Cordi Switsur</v>
      </c>
      <c r="G122" s="2" t="str">
        <f>_xlfn.XLOOKUP(C122,customers!$A$2:$A$1001,customers!$C$2:$C$1001,0)</f>
        <v>cswitsur3b@chronoengine.com</v>
      </c>
      <c r="H122" s="2" t="str">
        <f>_xlfn.XLOOKUP(orders!C122,customers!$A$2:$A$1001,customers!$G$2:$G$1001,0)</f>
        <v>United States</v>
      </c>
      <c r="I122" t="str">
        <f>INDEX(products!$A$1:$G$49,MATCH(orders!$D122,products!$A$1:$A$49,0),MATCH($I$1,products!$A$1:$G$1,0))</f>
        <v>Ara</v>
      </c>
      <c r="J122" t="str">
        <f>INDEX(products!$A$1:$G$49,MATCH(orders!$D122,products!$A$1:$A$49,0),MATCH($J$1,products!$A$1:$G$1,0))</f>
        <v>L</v>
      </c>
      <c r="K122" s="1">
        <f>INDEX(products!$A$1:$G$49,MATCH(orders!$D122,products!$A$1:$A$49,0),MATCH($K$1,products!$A$1:$G$1,0))</f>
        <v>0.2</v>
      </c>
      <c r="L122">
        <f>INDEX(products!$A$1:$G$49,MATCH(orders!$D122,products!$A$1:$A$49,0),MATCH($L$1,products!$A$1:$G$1,0))</f>
        <v>3.8849999999999998</v>
      </c>
      <c r="M122">
        <f t="shared" si="4"/>
        <v>3.8849999999999998</v>
      </c>
      <c r="N122" t="str">
        <f t="shared" si="5"/>
        <v>Arabica</v>
      </c>
      <c r="O122" t="str">
        <f t="shared" si="6"/>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_xlfn.XLOOKUP(C123,customers!$A$2:$A$1001,customers!$B$2:$B$1001,0)</f>
        <v>Cordi Switsur</v>
      </c>
      <c r="G123" s="2" t="str">
        <f>_xlfn.XLOOKUP(C123,customers!$A$2:$A$1001,customers!$C$2:$C$1001,0)</f>
        <v>cswitsur3b@chronoengine.com</v>
      </c>
      <c r="H123" s="2" t="str">
        <f>_xlfn.XLOOKUP(orders!C123,customers!$A$2:$A$1001,customers!$G$2:$G$1001,0)</f>
        <v>United States</v>
      </c>
      <c r="I123" t="str">
        <f>INDEX(products!$A$1:$G$49,MATCH(orders!$D123,products!$A$1:$A$49,0),MATCH($I$1,products!$A$1:$G$1,0))</f>
        <v>Exc</v>
      </c>
      <c r="J123" t="str">
        <f>INDEX(products!$A$1:$G$49,MATCH(orders!$D123,products!$A$1:$A$49,0),MATCH($J$1,products!$A$1:$G$1,0))</f>
        <v>M</v>
      </c>
      <c r="K123" s="1">
        <f>INDEX(products!$A$1:$G$49,MATCH(orders!$D123,products!$A$1:$A$49,0),MATCH($K$1,products!$A$1:$G$1,0))</f>
        <v>1</v>
      </c>
      <c r="L123">
        <f>INDEX(products!$A$1:$G$49,MATCH(orders!$D123,products!$A$1:$A$49,0),MATCH($L$1,products!$A$1:$G$1,0))</f>
        <v>13.75</v>
      </c>
      <c r="M123">
        <f t="shared" si="4"/>
        <v>68.75</v>
      </c>
      <c r="N123" t="str">
        <f t="shared" si="5"/>
        <v>Excelsa</v>
      </c>
      <c r="O123" t="str">
        <f t="shared" si="6"/>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_xlfn.XLOOKUP(C124,customers!$A$2:$A$1001,customers!$B$2:$B$1001,0)</f>
        <v>Mahala Ludwell</v>
      </c>
      <c r="G124" s="2" t="str">
        <f>_xlfn.XLOOKUP(C124,customers!$A$2:$A$1001,customers!$C$2:$C$1001,0)</f>
        <v>mludwell3e@blogger.com</v>
      </c>
      <c r="H124" s="2" t="str">
        <f>_xlfn.XLOOKUP(orders!C124,customers!$A$2:$A$1001,customers!$G$2:$G$1001,0)</f>
        <v>United States</v>
      </c>
      <c r="I124" t="str">
        <f>INDEX(products!$A$1:$G$49,MATCH(orders!$D124,products!$A$1:$A$49,0),MATCH($I$1,products!$A$1:$G$1,0))</f>
        <v>Ara</v>
      </c>
      <c r="J124" t="str">
        <f>INDEX(products!$A$1:$G$49,MATCH(orders!$D124,products!$A$1:$A$49,0),MATCH($J$1,products!$A$1:$G$1,0))</f>
        <v>D</v>
      </c>
      <c r="K124" s="1">
        <f>INDEX(products!$A$1:$G$49,MATCH(orders!$D124,products!$A$1:$A$49,0),MATCH($K$1,products!$A$1:$G$1,0))</f>
        <v>0.5</v>
      </c>
      <c r="L124">
        <f>INDEX(products!$A$1:$G$49,MATCH(orders!$D124,products!$A$1:$A$49,0),MATCH($L$1,products!$A$1:$G$1,0))</f>
        <v>5.97</v>
      </c>
      <c r="M124">
        <f t="shared" si="4"/>
        <v>23.88</v>
      </c>
      <c r="N124" t="str">
        <f t="shared" si="5"/>
        <v>Arabica</v>
      </c>
      <c r="O124" t="str">
        <f t="shared" si="6"/>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_xlfn.XLOOKUP(C125,customers!$A$2:$A$1001,customers!$B$2:$B$1001,0)</f>
        <v>Doll Beauchamp</v>
      </c>
      <c r="G125" s="2" t="str">
        <f>_xlfn.XLOOKUP(C125,customers!$A$2:$A$1001,customers!$C$2:$C$1001,0)</f>
        <v>dbeauchamp3f@usda.gov</v>
      </c>
      <c r="H125" s="2" t="str">
        <f>_xlfn.XLOOKUP(orders!C125,customers!$A$2:$A$1001,customers!$G$2:$G$1001,0)</f>
        <v>United States</v>
      </c>
      <c r="I125" t="str">
        <f>INDEX(products!$A$1:$G$49,MATCH(orders!$D125,products!$A$1:$A$49,0),MATCH($I$1,products!$A$1:$G$1,0))</f>
        <v>Lib</v>
      </c>
      <c r="J125" t="str">
        <f>INDEX(products!$A$1:$G$49,MATCH(orders!$D125,products!$A$1:$A$49,0),MATCH($J$1,products!$A$1:$G$1,0))</f>
        <v>L</v>
      </c>
      <c r="K125" s="1">
        <f>INDEX(products!$A$1:$G$49,MATCH(orders!$D125,products!$A$1:$A$49,0),MATCH($K$1,products!$A$1:$G$1,0))</f>
        <v>2.5</v>
      </c>
      <c r="L125">
        <f>INDEX(products!$A$1:$G$49,MATCH(orders!$D125,products!$A$1:$A$49,0),MATCH($L$1,products!$A$1:$G$1,0))</f>
        <v>36.454999999999998</v>
      </c>
      <c r="M125">
        <f t="shared" si="4"/>
        <v>145.82</v>
      </c>
      <c r="N125" t="str">
        <f t="shared" si="5"/>
        <v>Liberica</v>
      </c>
      <c r="O125" t="str">
        <f t="shared" si="6"/>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_xlfn.XLOOKUP(C126,customers!$A$2:$A$1001,customers!$B$2:$B$1001,0)</f>
        <v>Stanford Rodliff</v>
      </c>
      <c r="G126" s="2" t="str">
        <f>_xlfn.XLOOKUP(C126,customers!$A$2:$A$1001,customers!$C$2:$C$1001,0)</f>
        <v>srodliff3g@ted.com</v>
      </c>
      <c r="H126" s="2" t="str">
        <f>_xlfn.XLOOKUP(orders!C126,customers!$A$2:$A$1001,customers!$G$2:$G$1001,0)</f>
        <v>United States</v>
      </c>
      <c r="I126" t="str">
        <f>INDEX(products!$A$1:$G$49,MATCH(orders!$D126,products!$A$1:$A$49,0),MATCH($I$1,products!$A$1:$G$1,0))</f>
        <v>Lib</v>
      </c>
      <c r="J126" t="str">
        <f>INDEX(products!$A$1:$G$49,MATCH(orders!$D126,products!$A$1:$A$49,0),MATCH($J$1,products!$A$1:$G$1,0))</f>
        <v>M</v>
      </c>
      <c r="K126" s="1">
        <f>INDEX(products!$A$1:$G$49,MATCH(orders!$D126,products!$A$1:$A$49,0),MATCH($K$1,products!$A$1:$G$1,0))</f>
        <v>0.2</v>
      </c>
      <c r="L126">
        <f>INDEX(products!$A$1:$G$49,MATCH(orders!$D126,products!$A$1:$A$49,0),MATCH($L$1,products!$A$1:$G$1,0))</f>
        <v>4.3650000000000002</v>
      </c>
      <c r="M126">
        <f t="shared" si="4"/>
        <v>21.825000000000003</v>
      </c>
      <c r="N126" t="str">
        <f t="shared" si="5"/>
        <v>Liberica</v>
      </c>
      <c r="O126" t="str">
        <f t="shared" si="6"/>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_xlfn.XLOOKUP(C127,customers!$A$2:$A$1001,customers!$B$2:$B$1001,0)</f>
        <v>Stevana Woodham</v>
      </c>
      <c r="G127" s="2" t="str">
        <f>_xlfn.XLOOKUP(C127,customers!$A$2:$A$1001,customers!$C$2:$C$1001,0)</f>
        <v>swoodham3h@businesswire.com</v>
      </c>
      <c r="H127" s="2" t="str">
        <f>_xlfn.XLOOKUP(orders!C127,customers!$A$2:$A$1001,customers!$G$2:$G$1001,0)</f>
        <v>Ireland</v>
      </c>
      <c r="I127" t="str">
        <f>INDEX(products!$A$1:$G$49,MATCH(orders!$D127,products!$A$1:$A$49,0),MATCH($I$1,products!$A$1:$G$1,0))</f>
        <v>Lib</v>
      </c>
      <c r="J127" t="str">
        <f>INDEX(products!$A$1:$G$49,MATCH(orders!$D127,products!$A$1:$A$49,0),MATCH($J$1,products!$A$1:$G$1,0))</f>
        <v>M</v>
      </c>
      <c r="K127" s="1">
        <f>INDEX(products!$A$1:$G$49,MATCH(orders!$D127,products!$A$1:$A$49,0),MATCH($K$1,products!$A$1:$G$1,0))</f>
        <v>0.5</v>
      </c>
      <c r="L127">
        <f>INDEX(products!$A$1:$G$49,MATCH(orders!$D127,products!$A$1:$A$49,0),MATCH($L$1,products!$A$1:$G$1,0))</f>
        <v>8.73</v>
      </c>
      <c r="M127">
        <f t="shared" si="4"/>
        <v>26.19</v>
      </c>
      <c r="N127" t="str">
        <f t="shared" si="5"/>
        <v>Liberica</v>
      </c>
      <c r="O127" t="str">
        <f t="shared" si="6"/>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_xlfn.XLOOKUP(C128,customers!$A$2:$A$1001,customers!$B$2:$B$1001,0)</f>
        <v>Hewet Synnot</v>
      </c>
      <c r="G128" s="2" t="str">
        <f>_xlfn.XLOOKUP(C128,customers!$A$2:$A$1001,customers!$C$2:$C$1001,0)</f>
        <v>hsynnot3i@about.com</v>
      </c>
      <c r="H128" s="2" t="str">
        <f>_xlfn.XLOOKUP(orders!C128,customers!$A$2:$A$1001,customers!$G$2:$G$1001,0)</f>
        <v>United States</v>
      </c>
      <c r="I128" t="str">
        <f>INDEX(products!$A$1:$G$49,MATCH(orders!$D128,products!$A$1:$A$49,0),MATCH($I$1,products!$A$1:$G$1,0))</f>
        <v>Ara</v>
      </c>
      <c r="J128" t="str">
        <f>INDEX(products!$A$1:$G$49,MATCH(orders!$D128,products!$A$1:$A$49,0),MATCH($J$1,products!$A$1:$G$1,0))</f>
        <v>M</v>
      </c>
      <c r="K128" s="1">
        <f>INDEX(products!$A$1:$G$49,MATCH(orders!$D128,products!$A$1:$A$49,0),MATCH($K$1,products!$A$1:$G$1,0))</f>
        <v>1</v>
      </c>
      <c r="L128">
        <f>INDEX(products!$A$1:$G$49,MATCH(orders!$D128,products!$A$1:$A$49,0),MATCH($L$1,products!$A$1:$G$1,0))</f>
        <v>11.25</v>
      </c>
      <c r="M128">
        <f t="shared" si="4"/>
        <v>11.25</v>
      </c>
      <c r="N128" t="str">
        <f t="shared" si="5"/>
        <v>Arabica</v>
      </c>
      <c r="O128" t="str">
        <f t="shared" si="6"/>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_xlfn.XLOOKUP(C129,customers!$A$2:$A$1001,customers!$B$2:$B$1001,0)</f>
        <v>Raleigh Lepere</v>
      </c>
      <c r="G129" s="2" t="str">
        <f>_xlfn.XLOOKUP(C129,customers!$A$2:$A$1001,customers!$C$2:$C$1001,0)</f>
        <v>rlepere3j@shop-pro.jp</v>
      </c>
      <c r="H129" s="2" t="str">
        <f>_xlfn.XLOOKUP(orders!C129,customers!$A$2:$A$1001,customers!$G$2:$G$1001,0)</f>
        <v>Ireland</v>
      </c>
      <c r="I129" t="str">
        <f>INDEX(products!$A$1:$G$49,MATCH(orders!$D129,products!$A$1:$A$49,0),MATCH($I$1,products!$A$1:$G$1,0))</f>
        <v>Lib</v>
      </c>
      <c r="J129" t="str">
        <f>INDEX(products!$A$1:$G$49,MATCH(orders!$D129,products!$A$1:$A$49,0),MATCH($J$1,products!$A$1:$G$1,0))</f>
        <v>D</v>
      </c>
      <c r="K129" s="1">
        <f>INDEX(products!$A$1:$G$49,MATCH(orders!$D129,products!$A$1:$A$49,0),MATCH($K$1,products!$A$1:$G$1,0))</f>
        <v>1</v>
      </c>
      <c r="L129">
        <f>INDEX(products!$A$1:$G$49,MATCH(orders!$D129,products!$A$1:$A$49,0),MATCH($L$1,products!$A$1:$G$1,0))</f>
        <v>12.95</v>
      </c>
      <c r="M129">
        <f t="shared" si="4"/>
        <v>77.699999999999989</v>
      </c>
      <c r="N129" t="str">
        <f t="shared" si="5"/>
        <v>Liberica</v>
      </c>
      <c r="O129" t="str">
        <f t="shared" si="6"/>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_xlfn.XLOOKUP(C130,customers!$A$2:$A$1001,customers!$B$2:$B$1001,0)</f>
        <v>Timofei Woofinden</v>
      </c>
      <c r="G130" s="2" t="str">
        <f>_xlfn.XLOOKUP(C130,customers!$A$2:$A$1001,customers!$C$2:$C$1001,0)</f>
        <v>twoofinden3k@businesswire.com</v>
      </c>
      <c r="H130" s="2" t="str">
        <f>_xlfn.XLOOKUP(orders!C130,customers!$A$2:$A$1001,customers!$G$2:$G$1001,0)</f>
        <v>United States</v>
      </c>
      <c r="I130" t="str">
        <f>INDEX(products!$A$1:$G$49,MATCH(orders!$D130,products!$A$1:$A$49,0),MATCH($I$1,products!$A$1:$G$1,0))</f>
        <v>Ara</v>
      </c>
      <c r="J130" t="str">
        <f>INDEX(products!$A$1:$G$49,MATCH(orders!$D130,products!$A$1:$A$49,0),MATCH($J$1,products!$A$1:$G$1,0))</f>
        <v>M</v>
      </c>
      <c r="K130" s="1">
        <f>INDEX(products!$A$1:$G$49,MATCH(orders!$D130,products!$A$1:$A$49,0),MATCH($K$1,products!$A$1:$G$1,0))</f>
        <v>0.5</v>
      </c>
      <c r="L130">
        <f>INDEX(products!$A$1:$G$49,MATCH(orders!$D130,products!$A$1:$A$49,0),MATCH($L$1,products!$A$1:$G$1,0))</f>
        <v>6.75</v>
      </c>
      <c r="M130">
        <f t="shared" si="4"/>
        <v>6.75</v>
      </c>
      <c r="N130" t="str">
        <f t="shared" si="5"/>
        <v>Arabica</v>
      </c>
      <c r="O130" t="str">
        <f t="shared" si="6"/>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_xlfn.XLOOKUP(C131,customers!$A$2:$A$1001,customers!$B$2:$B$1001,0)</f>
        <v>Evelina Dacca</v>
      </c>
      <c r="G131" s="2" t="str">
        <f>_xlfn.XLOOKUP(C131,customers!$A$2:$A$1001,customers!$C$2:$C$1001,0)</f>
        <v>edacca3l@google.pl</v>
      </c>
      <c r="H131" s="2" t="str">
        <f>_xlfn.XLOOKUP(orders!C131,customers!$A$2:$A$1001,customers!$G$2:$G$1001,0)</f>
        <v>United States</v>
      </c>
      <c r="I131" t="str">
        <f>INDEX(products!$A$1:$G$49,MATCH(orders!$D131,products!$A$1:$A$49,0),MATCH($I$1,products!$A$1:$G$1,0))</f>
        <v>Exc</v>
      </c>
      <c r="J131" t="str">
        <f>INDEX(products!$A$1:$G$49,MATCH(orders!$D131,products!$A$1:$A$49,0),MATCH($J$1,products!$A$1:$G$1,0))</f>
        <v>D</v>
      </c>
      <c r="K131" s="1">
        <f>INDEX(products!$A$1:$G$49,MATCH(orders!$D131,products!$A$1:$A$49,0),MATCH($K$1,products!$A$1:$G$1,0))</f>
        <v>1</v>
      </c>
      <c r="L131">
        <f>INDEX(products!$A$1:$G$49,MATCH(orders!$D131,products!$A$1:$A$49,0),MATCH($L$1,products!$A$1:$G$1,0))</f>
        <v>12.15</v>
      </c>
      <c r="M131">
        <f t="shared" ref="M131:M194" si="7">L131*E131</f>
        <v>12.15</v>
      </c>
      <c r="N131" t="str">
        <f t="shared" ref="N131:N194" si="8">IF(I131="Rob","Robusta",IF(I131="Exc","Excelsa",IF(I131="Ara","Arabica",IF(I131="Lib","Liberica",""))))</f>
        <v>Excelsa</v>
      </c>
      <c r="O131" t="str">
        <f t="shared" ref="O131:O194" si="9">IF(J131="M", "Medium", IF(J131="L","Light", IF(J131="D", "Dark","")))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_xlfn.XLOOKUP(C132,customers!$A$2:$A$1001,customers!$B$2:$B$1001,0)</f>
        <v>Bidget Tremellier</v>
      </c>
      <c r="G132" s="2">
        <f>_xlfn.XLOOKUP(C132,customers!$A$2:$A$1001,customers!$C$2:$C$1001,0)</f>
        <v>0</v>
      </c>
      <c r="H132" s="2" t="str">
        <f>_xlfn.XLOOKUP(orders!C132,customers!$A$2:$A$1001,customers!$G$2:$G$1001,0)</f>
        <v>Ireland</v>
      </c>
      <c r="I132" t="str">
        <f>INDEX(products!$A$1:$G$49,MATCH(orders!$D132,products!$A$1:$A$49,0),MATCH($I$1,products!$A$1:$G$1,0))</f>
        <v>Ara</v>
      </c>
      <c r="J132" t="str">
        <f>INDEX(products!$A$1:$G$49,MATCH(orders!$D132,products!$A$1:$A$49,0),MATCH($J$1,products!$A$1:$G$1,0))</f>
        <v>L</v>
      </c>
      <c r="K132" s="1">
        <f>INDEX(products!$A$1:$G$49,MATCH(orders!$D132,products!$A$1:$A$49,0),MATCH($K$1,products!$A$1:$G$1,0))</f>
        <v>2.5</v>
      </c>
      <c r="L132">
        <f>INDEX(products!$A$1:$G$49,MATCH(orders!$D132,products!$A$1:$A$49,0),MATCH($L$1,products!$A$1:$G$1,0))</f>
        <v>29.784999999999997</v>
      </c>
      <c r="M132">
        <f t="shared" si="7"/>
        <v>148.92499999999998</v>
      </c>
      <c r="N132" t="str">
        <f t="shared" si="8"/>
        <v>Arabica</v>
      </c>
      <c r="O132" t="str">
        <f t="shared" si="9"/>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_xlfn.XLOOKUP(C133,customers!$A$2:$A$1001,customers!$B$2:$B$1001,0)</f>
        <v>Bobinette Hindsberg</v>
      </c>
      <c r="G133" s="2" t="str">
        <f>_xlfn.XLOOKUP(C133,customers!$A$2:$A$1001,customers!$C$2:$C$1001,0)</f>
        <v>bhindsberg3n@blogs.com</v>
      </c>
      <c r="H133" s="2" t="str">
        <f>_xlfn.XLOOKUP(orders!C133,customers!$A$2:$A$1001,customers!$G$2:$G$1001,0)</f>
        <v>United States</v>
      </c>
      <c r="I133" t="str">
        <f>INDEX(products!$A$1:$G$49,MATCH(orders!$D133,products!$A$1:$A$49,0),MATCH($I$1,products!$A$1:$G$1,0))</f>
        <v>Exc</v>
      </c>
      <c r="J133" t="str">
        <f>INDEX(products!$A$1:$G$49,MATCH(orders!$D133,products!$A$1:$A$49,0),MATCH($J$1,products!$A$1:$G$1,0))</f>
        <v>D</v>
      </c>
      <c r="K133" s="1">
        <f>INDEX(products!$A$1:$G$49,MATCH(orders!$D133,products!$A$1:$A$49,0),MATCH($K$1,products!$A$1:$G$1,0))</f>
        <v>0.5</v>
      </c>
      <c r="L133">
        <f>INDEX(products!$A$1:$G$49,MATCH(orders!$D133,products!$A$1:$A$49,0),MATCH($L$1,products!$A$1:$G$1,0))</f>
        <v>7.29</v>
      </c>
      <c r="M133">
        <f t="shared" si="7"/>
        <v>14.58</v>
      </c>
      <c r="N133" t="str">
        <f t="shared" si="8"/>
        <v>Excelsa</v>
      </c>
      <c r="O133" t="str">
        <f t="shared" si="9"/>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_xlfn.XLOOKUP(C134,customers!$A$2:$A$1001,customers!$B$2:$B$1001,0)</f>
        <v>Osbert Robins</v>
      </c>
      <c r="G134" s="2" t="str">
        <f>_xlfn.XLOOKUP(C134,customers!$A$2:$A$1001,customers!$C$2:$C$1001,0)</f>
        <v>orobins3o@salon.com</v>
      </c>
      <c r="H134" s="2" t="str">
        <f>_xlfn.XLOOKUP(orders!C134,customers!$A$2:$A$1001,customers!$G$2:$G$1001,0)</f>
        <v>United States</v>
      </c>
      <c r="I134" t="str">
        <f>INDEX(products!$A$1:$G$49,MATCH(orders!$D134,products!$A$1:$A$49,0),MATCH($I$1,products!$A$1:$G$1,0))</f>
        <v>Ara</v>
      </c>
      <c r="J134" t="str">
        <f>INDEX(products!$A$1:$G$49,MATCH(orders!$D134,products!$A$1:$A$49,0),MATCH($J$1,products!$A$1:$G$1,0))</f>
        <v>L</v>
      </c>
      <c r="K134" s="1">
        <f>INDEX(products!$A$1:$G$49,MATCH(orders!$D134,products!$A$1:$A$49,0),MATCH($K$1,products!$A$1:$G$1,0))</f>
        <v>2.5</v>
      </c>
      <c r="L134">
        <f>INDEX(products!$A$1:$G$49,MATCH(orders!$D134,products!$A$1:$A$49,0),MATCH($L$1,products!$A$1:$G$1,0))</f>
        <v>29.784999999999997</v>
      </c>
      <c r="M134">
        <f t="shared" si="7"/>
        <v>148.92499999999998</v>
      </c>
      <c r="N134" t="str">
        <f t="shared" si="8"/>
        <v>Arabica</v>
      </c>
      <c r="O134" t="str">
        <f t="shared" si="9"/>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_xlfn.XLOOKUP(C135,customers!$A$2:$A$1001,customers!$B$2:$B$1001,0)</f>
        <v>Othello Syseland</v>
      </c>
      <c r="G135" s="2" t="str">
        <f>_xlfn.XLOOKUP(C135,customers!$A$2:$A$1001,customers!$C$2:$C$1001,0)</f>
        <v>osyseland3p@independent.co.uk</v>
      </c>
      <c r="H135" s="2" t="str">
        <f>_xlfn.XLOOKUP(orders!C135,customers!$A$2:$A$1001,customers!$G$2:$G$1001,0)</f>
        <v>United States</v>
      </c>
      <c r="I135" t="str">
        <f>INDEX(products!$A$1:$G$49,MATCH(orders!$D135,products!$A$1:$A$49,0),MATCH($I$1,products!$A$1:$G$1,0))</f>
        <v>Lib</v>
      </c>
      <c r="J135" t="str">
        <f>INDEX(products!$A$1:$G$49,MATCH(orders!$D135,products!$A$1:$A$49,0),MATCH($J$1,products!$A$1:$G$1,0))</f>
        <v>D</v>
      </c>
      <c r="K135" s="1">
        <f>INDEX(products!$A$1:$G$49,MATCH(orders!$D135,products!$A$1:$A$49,0),MATCH($K$1,products!$A$1:$G$1,0))</f>
        <v>1</v>
      </c>
      <c r="L135">
        <f>INDEX(products!$A$1:$G$49,MATCH(orders!$D135,products!$A$1:$A$49,0),MATCH($L$1,products!$A$1:$G$1,0))</f>
        <v>12.95</v>
      </c>
      <c r="M135">
        <f t="shared" si="7"/>
        <v>12.95</v>
      </c>
      <c r="N135" t="str">
        <f t="shared" si="8"/>
        <v>Liberica</v>
      </c>
      <c r="O135" t="str">
        <f t="shared" si="9"/>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_xlfn.XLOOKUP(C136,customers!$A$2:$A$1001,customers!$B$2:$B$1001,0)</f>
        <v>Ewell Hanby</v>
      </c>
      <c r="G136" s="2">
        <f>_xlfn.XLOOKUP(C136,customers!$A$2:$A$1001,customers!$C$2:$C$1001,0)</f>
        <v>0</v>
      </c>
      <c r="H136" s="2" t="str">
        <f>_xlfn.XLOOKUP(orders!C136,customers!$A$2:$A$1001,customers!$G$2:$G$1001,0)</f>
        <v>United States</v>
      </c>
      <c r="I136" t="str">
        <f>INDEX(products!$A$1:$G$49,MATCH(orders!$D136,products!$A$1:$A$49,0),MATCH($I$1,products!$A$1:$G$1,0))</f>
        <v>Exc</v>
      </c>
      <c r="J136" t="str">
        <f>INDEX(products!$A$1:$G$49,MATCH(orders!$D136,products!$A$1:$A$49,0),MATCH($J$1,products!$A$1:$G$1,0))</f>
        <v>M</v>
      </c>
      <c r="K136" s="1">
        <f>INDEX(products!$A$1:$G$49,MATCH(orders!$D136,products!$A$1:$A$49,0),MATCH($K$1,products!$A$1:$G$1,0))</f>
        <v>2.5</v>
      </c>
      <c r="L136">
        <f>INDEX(products!$A$1:$G$49,MATCH(orders!$D136,products!$A$1:$A$49,0),MATCH($L$1,products!$A$1:$G$1,0))</f>
        <v>31.624999999999996</v>
      </c>
      <c r="M136">
        <f t="shared" si="7"/>
        <v>94.874999999999986</v>
      </c>
      <c r="N136" t="str">
        <f t="shared" si="8"/>
        <v>Excelsa</v>
      </c>
      <c r="O136" t="str">
        <f t="shared" si="9"/>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_xlfn.XLOOKUP(C137,customers!$A$2:$A$1001,customers!$B$2:$B$1001,0)</f>
        <v>Blancha McAmish</v>
      </c>
      <c r="G137" s="2" t="str">
        <f>_xlfn.XLOOKUP(C137,customers!$A$2:$A$1001,customers!$C$2:$C$1001,0)</f>
        <v>bmcamish2e@tripadvisor.com</v>
      </c>
      <c r="H137" s="2" t="str">
        <f>_xlfn.XLOOKUP(orders!C137,customers!$A$2:$A$1001,customers!$G$2:$G$1001,0)</f>
        <v>United States</v>
      </c>
      <c r="I137" t="str">
        <f>INDEX(products!$A$1:$G$49,MATCH(orders!$D137,products!$A$1:$A$49,0),MATCH($I$1,products!$A$1:$G$1,0))</f>
        <v>Ara</v>
      </c>
      <c r="J137" t="str">
        <f>INDEX(products!$A$1:$G$49,MATCH(orders!$D137,products!$A$1:$A$49,0),MATCH($J$1,products!$A$1:$G$1,0))</f>
        <v>L</v>
      </c>
      <c r="K137" s="1">
        <f>INDEX(products!$A$1:$G$49,MATCH(orders!$D137,products!$A$1:$A$49,0),MATCH($K$1,products!$A$1:$G$1,0))</f>
        <v>0.5</v>
      </c>
      <c r="L137">
        <f>INDEX(products!$A$1:$G$49,MATCH(orders!$D137,products!$A$1:$A$49,0),MATCH($L$1,products!$A$1:$G$1,0))</f>
        <v>7.77</v>
      </c>
      <c r="M137">
        <f t="shared" si="7"/>
        <v>38.849999999999994</v>
      </c>
      <c r="N137" t="str">
        <f t="shared" si="8"/>
        <v>Arabica</v>
      </c>
      <c r="O137" t="str">
        <f t="shared" si="9"/>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_xlfn.XLOOKUP(C138,customers!$A$2:$A$1001,customers!$B$2:$B$1001,0)</f>
        <v>Lowell Keenleyside</v>
      </c>
      <c r="G138" s="2" t="str">
        <f>_xlfn.XLOOKUP(C138,customers!$A$2:$A$1001,customers!$C$2:$C$1001,0)</f>
        <v>lkeenleyside3s@topsy.com</v>
      </c>
      <c r="H138" s="2" t="str">
        <f>_xlfn.XLOOKUP(orders!C138,customers!$A$2:$A$1001,customers!$G$2:$G$1001,0)</f>
        <v>United States</v>
      </c>
      <c r="I138" t="str">
        <f>INDEX(products!$A$1:$G$49,MATCH(orders!$D138,products!$A$1:$A$49,0),MATCH($I$1,products!$A$1:$G$1,0))</f>
        <v>Ara</v>
      </c>
      <c r="J138" t="str">
        <f>INDEX(products!$A$1:$G$49,MATCH(orders!$D138,products!$A$1:$A$49,0),MATCH($J$1,products!$A$1:$G$1,0))</f>
        <v>D</v>
      </c>
      <c r="K138" s="1">
        <f>INDEX(products!$A$1:$G$49,MATCH(orders!$D138,products!$A$1:$A$49,0),MATCH($K$1,products!$A$1:$G$1,0))</f>
        <v>0.2</v>
      </c>
      <c r="L138">
        <f>INDEX(products!$A$1:$G$49,MATCH(orders!$D138,products!$A$1:$A$49,0),MATCH($L$1,products!$A$1:$G$1,0))</f>
        <v>2.9849999999999999</v>
      </c>
      <c r="M138">
        <f t="shared" si="7"/>
        <v>11.94</v>
      </c>
      <c r="N138" t="str">
        <f t="shared" si="8"/>
        <v>Arabica</v>
      </c>
      <c r="O138" t="str">
        <f t="shared" si="9"/>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_xlfn.XLOOKUP(C139,customers!$A$2:$A$1001,customers!$B$2:$B$1001,0)</f>
        <v>Elonore Joliffe</v>
      </c>
      <c r="G139" s="2">
        <f>_xlfn.XLOOKUP(C139,customers!$A$2:$A$1001,customers!$C$2:$C$1001,0)</f>
        <v>0</v>
      </c>
      <c r="H139" s="2" t="str">
        <f>_xlfn.XLOOKUP(orders!C139,customers!$A$2:$A$1001,customers!$G$2:$G$1001,0)</f>
        <v>Ireland</v>
      </c>
      <c r="I139" t="str">
        <f>INDEX(products!$A$1:$G$49,MATCH(orders!$D139,products!$A$1:$A$49,0),MATCH($I$1,products!$A$1:$G$1,0))</f>
        <v>Exc</v>
      </c>
      <c r="J139" t="str">
        <f>INDEX(products!$A$1:$G$49,MATCH(orders!$D139,products!$A$1:$A$49,0),MATCH($J$1,products!$A$1:$G$1,0))</f>
        <v>L</v>
      </c>
      <c r="K139" s="1">
        <f>INDEX(products!$A$1:$G$49,MATCH(orders!$D139,products!$A$1:$A$49,0),MATCH($K$1,products!$A$1:$G$1,0))</f>
        <v>2.5</v>
      </c>
      <c r="L139">
        <f>INDEX(products!$A$1:$G$49,MATCH(orders!$D139,products!$A$1:$A$49,0),MATCH($L$1,products!$A$1:$G$1,0))</f>
        <v>34.154999999999994</v>
      </c>
      <c r="M139">
        <f t="shared" si="7"/>
        <v>102.46499999999997</v>
      </c>
      <c r="N139" t="str">
        <f t="shared" si="8"/>
        <v>Excelsa</v>
      </c>
      <c r="O139" t="str">
        <f t="shared" si="9"/>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_xlfn.XLOOKUP(C140,customers!$A$2:$A$1001,customers!$B$2:$B$1001,0)</f>
        <v>Abraham Coleman</v>
      </c>
      <c r="G140" s="2">
        <f>_xlfn.XLOOKUP(C140,customers!$A$2:$A$1001,customers!$C$2:$C$1001,0)</f>
        <v>0</v>
      </c>
      <c r="H140" s="2" t="str">
        <f>_xlfn.XLOOKUP(orders!C140,customers!$A$2:$A$1001,customers!$G$2:$G$1001,0)</f>
        <v>United States</v>
      </c>
      <c r="I140" t="str">
        <f>INDEX(products!$A$1:$G$49,MATCH(orders!$D140,products!$A$1:$A$49,0),MATCH($I$1,products!$A$1:$G$1,0))</f>
        <v>Exc</v>
      </c>
      <c r="J140" t="str">
        <f>INDEX(products!$A$1:$G$49,MATCH(orders!$D140,products!$A$1:$A$49,0),MATCH($J$1,products!$A$1:$G$1,0))</f>
        <v>D</v>
      </c>
      <c r="K140" s="1">
        <f>INDEX(products!$A$1:$G$49,MATCH(orders!$D140,products!$A$1:$A$49,0),MATCH($K$1,products!$A$1:$G$1,0))</f>
        <v>1</v>
      </c>
      <c r="L140">
        <f>INDEX(products!$A$1:$G$49,MATCH(orders!$D140,products!$A$1:$A$49,0),MATCH($L$1,products!$A$1:$G$1,0))</f>
        <v>12.15</v>
      </c>
      <c r="M140">
        <f t="shared" si="7"/>
        <v>48.6</v>
      </c>
      <c r="N140" t="str">
        <f t="shared" si="8"/>
        <v>Excelsa</v>
      </c>
      <c r="O140" t="str">
        <f t="shared" si="9"/>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_xlfn.XLOOKUP(C141,customers!$A$2:$A$1001,customers!$B$2:$B$1001,0)</f>
        <v>Rivy Farington</v>
      </c>
      <c r="G141" s="2">
        <f>_xlfn.XLOOKUP(C141,customers!$A$2:$A$1001,customers!$C$2:$C$1001,0)</f>
        <v>0</v>
      </c>
      <c r="H141" s="2" t="str">
        <f>_xlfn.XLOOKUP(orders!C141,customers!$A$2:$A$1001,customers!$G$2:$G$1001,0)</f>
        <v>United States</v>
      </c>
      <c r="I141" t="str">
        <f>INDEX(products!$A$1:$G$49,MATCH(orders!$D141,products!$A$1:$A$49,0),MATCH($I$1,products!$A$1:$G$1,0))</f>
        <v>Lib</v>
      </c>
      <c r="J141" t="str">
        <f>INDEX(products!$A$1:$G$49,MATCH(orders!$D141,products!$A$1:$A$49,0),MATCH($J$1,products!$A$1:$G$1,0))</f>
        <v>D</v>
      </c>
      <c r="K141" s="1">
        <f>INDEX(products!$A$1:$G$49,MATCH(orders!$D141,products!$A$1:$A$49,0),MATCH($K$1,products!$A$1:$G$1,0))</f>
        <v>1</v>
      </c>
      <c r="L141">
        <f>INDEX(products!$A$1:$G$49,MATCH(orders!$D141,products!$A$1:$A$49,0),MATCH($L$1,products!$A$1:$G$1,0))</f>
        <v>12.95</v>
      </c>
      <c r="M141">
        <f t="shared" si="7"/>
        <v>77.699999999999989</v>
      </c>
      <c r="N141" t="str">
        <f t="shared" si="8"/>
        <v>Liberica</v>
      </c>
      <c r="O141" t="str">
        <f t="shared" si="9"/>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_xlfn.XLOOKUP(C142,customers!$A$2:$A$1001,customers!$B$2:$B$1001,0)</f>
        <v>Vallie Kundt</v>
      </c>
      <c r="G142" s="2" t="str">
        <f>_xlfn.XLOOKUP(C142,customers!$A$2:$A$1001,customers!$C$2:$C$1001,0)</f>
        <v>vkundt3w@bigcartel.com</v>
      </c>
      <c r="H142" s="2" t="str">
        <f>_xlfn.XLOOKUP(orders!C142,customers!$A$2:$A$1001,customers!$G$2:$G$1001,0)</f>
        <v>Ireland</v>
      </c>
      <c r="I142" t="str">
        <f>INDEX(products!$A$1:$G$49,MATCH(orders!$D142,products!$A$1:$A$49,0),MATCH($I$1,products!$A$1:$G$1,0))</f>
        <v>Lib</v>
      </c>
      <c r="J142" t="str">
        <f>INDEX(products!$A$1:$G$49,MATCH(orders!$D142,products!$A$1:$A$49,0),MATCH($J$1,products!$A$1:$G$1,0))</f>
        <v>D</v>
      </c>
      <c r="K142" s="1">
        <f>INDEX(products!$A$1:$G$49,MATCH(orders!$D142,products!$A$1:$A$49,0),MATCH($K$1,products!$A$1:$G$1,0))</f>
        <v>2.5</v>
      </c>
      <c r="L142">
        <f>INDEX(products!$A$1:$G$49,MATCH(orders!$D142,products!$A$1:$A$49,0),MATCH($L$1,products!$A$1:$G$1,0))</f>
        <v>29.784999999999997</v>
      </c>
      <c r="M142">
        <f t="shared" si="7"/>
        <v>29.784999999999997</v>
      </c>
      <c r="N142" t="str">
        <f t="shared" si="8"/>
        <v>Liberica</v>
      </c>
      <c r="O142" t="str">
        <f t="shared" si="9"/>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_xlfn.XLOOKUP(C143,customers!$A$2:$A$1001,customers!$B$2:$B$1001,0)</f>
        <v>Boyd Bett</v>
      </c>
      <c r="G143" s="2" t="str">
        <f>_xlfn.XLOOKUP(C143,customers!$A$2:$A$1001,customers!$C$2:$C$1001,0)</f>
        <v>bbett3x@google.de</v>
      </c>
      <c r="H143" s="2" t="str">
        <f>_xlfn.XLOOKUP(orders!C143,customers!$A$2:$A$1001,customers!$G$2:$G$1001,0)</f>
        <v>United States</v>
      </c>
      <c r="I143" t="str">
        <f>INDEX(products!$A$1:$G$49,MATCH(orders!$D143,products!$A$1:$A$49,0),MATCH($I$1,products!$A$1:$G$1,0))</f>
        <v>Ara</v>
      </c>
      <c r="J143" t="str">
        <f>INDEX(products!$A$1:$G$49,MATCH(orders!$D143,products!$A$1:$A$49,0),MATCH($J$1,products!$A$1:$G$1,0))</f>
        <v>L</v>
      </c>
      <c r="K143" s="1">
        <f>INDEX(products!$A$1:$G$49,MATCH(orders!$D143,products!$A$1:$A$49,0),MATCH($K$1,products!$A$1:$G$1,0))</f>
        <v>0.2</v>
      </c>
      <c r="L143">
        <f>INDEX(products!$A$1:$G$49,MATCH(orders!$D143,products!$A$1:$A$49,0),MATCH($L$1,products!$A$1:$G$1,0))</f>
        <v>3.8849999999999998</v>
      </c>
      <c r="M143">
        <f t="shared" si="7"/>
        <v>15.54</v>
      </c>
      <c r="N143" t="str">
        <f t="shared" si="8"/>
        <v>Arabica</v>
      </c>
      <c r="O143" t="str">
        <f t="shared" si="9"/>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_xlfn.XLOOKUP(C144,customers!$A$2:$A$1001,customers!$B$2:$B$1001,0)</f>
        <v>Julio Armytage</v>
      </c>
      <c r="G144" s="2">
        <f>_xlfn.XLOOKUP(C144,customers!$A$2:$A$1001,customers!$C$2:$C$1001,0)</f>
        <v>0</v>
      </c>
      <c r="H144" s="2" t="str">
        <f>_xlfn.XLOOKUP(orders!C144,customers!$A$2:$A$1001,customers!$G$2:$G$1001,0)</f>
        <v>Ireland</v>
      </c>
      <c r="I144" t="str">
        <f>INDEX(products!$A$1:$G$49,MATCH(orders!$D144,products!$A$1:$A$49,0),MATCH($I$1,products!$A$1:$G$1,0))</f>
        <v>Exc</v>
      </c>
      <c r="J144" t="str">
        <f>INDEX(products!$A$1:$G$49,MATCH(orders!$D144,products!$A$1:$A$49,0),MATCH($J$1,products!$A$1:$G$1,0))</f>
        <v>L</v>
      </c>
      <c r="K144" s="1">
        <f>INDEX(products!$A$1:$G$49,MATCH(orders!$D144,products!$A$1:$A$49,0),MATCH($K$1,products!$A$1:$G$1,0))</f>
        <v>2.5</v>
      </c>
      <c r="L144">
        <f>INDEX(products!$A$1:$G$49,MATCH(orders!$D144,products!$A$1:$A$49,0),MATCH($L$1,products!$A$1:$G$1,0))</f>
        <v>34.154999999999994</v>
      </c>
      <c r="M144">
        <f t="shared" si="7"/>
        <v>136.61999999999998</v>
      </c>
      <c r="N144" t="str">
        <f t="shared" si="8"/>
        <v>Excelsa</v>
      </c>
      <c r="O144" t="str">
        <f t="shared" si="9"/>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_xlfn.XLOOKUP(C145,customers!$A$2:$A$1001,customers!$B$2:$B$1001,0)</f>
        <v>Deana Staite</v>
      </c>
      <c r="G145" s="2" t="str">
        <f>_xlfn.XLOOKUP(C145,customers!$A$2:$A$1001,customers!$C$2:$C$1001,0)</f>
        <v>dstaite3z@scientificamerican.com</v>
      </c>
      <c r="H145" s="2" t="str">
        <f>_xlfn.XLOOKUP(orders!C145,customers!$A$2:$A$1001,customers!$G$2:$G$1001,0)</f>
        <v>United States</v>
      </c>
      <c r="I145" t="str">
        <f>INDEX(products!$A$1:$G$49,MATCH(orders!$D145,products!$A$1:$A$49,0),MATCH($I$1,products!$A$1:$G$1,0))</f>
        <v>Lib</v>
      </c>
      <c r="J145" t="str">
        <f>INDEX(products!$A$1:$G$49,MATCH(orders!$D145,products!$A$1:$A$49,0),MATCH($J$1,products!$A$1:$G$1,0))</f>
        <v>M</v>
      </c>
      <c r="K145" s="1">
        <f>INDEX(products!$A$1:$G$49,MATCH(orders!$D145,products!$A$1:$A$49,0),MATCH($K$1,products!$A$1:$G$1,0))</f>
        <v>0.5</v>
      </c>
      <c r="L145">
        <f>INDEX(products!$A$1:$G$49,MATCH(orders!$D145,products!$A$1:$A$49,0),MATCH($L$1,products!$A$1:$G$1,0))</f>
        <v>8.73</v>
      </c>
      <c r="M145">
        <f t="shared" si="7"/>
        <v>17.46</v>
      </c>
      <c r="N145" t="str">
        <f t="shared" si="8"/>
        <v>Liberica</v>
      </c>
      <c r="O145" t="str">
        <f t="shared" si="9"/>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_xlfn.XLOOKUP(C146,customers!$A$2:$A$1001,customers!$B$2:$B$1001,0)</f>
        <v>Winn Keyse</v>
      </c>
      <c r="G146" s="2" t="str">
        <f>_xlfn.XLOOKUP(C146,customers!$A$2:$A$1001,customers!$C$2:$C$1001,0)</f>
        <v>wkeyse40@apple.com</v>
      </c>
      <c r="H146" s="2" t="str">
        <f>_xlfn.XLOOKUP(orders!C146,customers!$A$2:$A$1001,customers!$G$2:$G$1001,0)</f>
        <v>United States</v>
      </c>
      <c r="I146" t="str">
        <f>INDEX(products!$A$1:$G$49,MATCH(orders!$D146,products!$A$1:$A$49,0),MATCH($I$1,products!$A$1:$G$1,0))</f>
        <v>Exc</v>
      </c>
      <c r="J146" t="str">
        <f>INDEX(products!$A$1:$G$49,MATCH(orders!$D146,products!$A$1:$A$49,0),MATCH($J$1,products!$A$1:$G$1,0))</f>
        <v>L</v>
      </c>
      <c r="K146" s="1">
        <f>INDEX(products!$A$1:$G$49,MATCH(orders!$D146,products!$A$1:$A$49,0),MATCH($K$1,products!$A$1:$G$1,0))</f>
        <v>2.5</v>
      </c>
      <c r="L146">
        <f>INDEX(products!$A$1:$G$49,MATCH(orders!$D146,products!$A$1:$A$49,0),MATCH($L$1,products!$A$1:$G$1,0))</f>
        <v>34.154999999999994</v>
      </c>
      <c r="M146">
        <f t="shared" si="7"/>
        <v>68.309999999999988</v>
      </c>
      <c r="N146" t="str">
        <f t="shared" si="8"/>
        <v>Excelsa</v>
      </c>
      <c r="O146" t="str">
        <f t="shared" si="9"/>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_xlfn.XLOOKUP(C147,customers!$A$2:$A$1001,customers!$B$2:$B$1001,0)</f>
        <v>Osmund Clausen-Thue</v>
      </c>
      <c r="G147" s="2" t="str">
        <f>_xlfn.XLOOKUP(C147,customers!$A$2:$A$1001,customers!$C$2:$C$1001,0)</f>
        <v>oclausenthue41@marriott.com</v>
      </c>
      <c r="H147" s="2" t="str">
        <f>_xlfn.XLOOKUP(orders!C147,customers!$A$2:$A$1001,customers!$G$2:$G$1001,0)</f>
        <v>United States</v>
      </c>
      <c r="I147" t="str">
        <f>INDEX(products!$A$1:$G$49,MATCH(orders!$D147,products!$A$1:$A$49,0),MATCH($I$1,products!$A$1:$G$1,0))</f>
        <v>Lib</v>
      </c>
      <c r="J147" t="str">
        <f>INDEX(products!$A$1:$G$49,MATCH(orders!$D147,products!$A$1:$A$49,0),MATCH($J$1,products!$A$1:$G$1,0))</f>
        <v>M</v>
      </c>
      <c r="K147" s="1">
        <f>INDEX(products!$A$1:$G$49,MATCH(orders!$D147,products!$A$1:$A$49,0),MATCH($K$1,products!$A$1:$G$1,0))</f>
        <v>0.2</v>
      </c>
      <c r="L147">
        <f>INDEX(products!$A$1:$G$49,MATCH(orders!$D147,products!$A$1:$A$49,0),MATCH($L$1,products!$A$1:$G$1,0))</f>
        <v>4.3650000000000002</v>
      </c>
      <c r="M147">
        <f t="shared" si="7"/>
        <v>17.46</v>
      </c>
      <c r="N147" t="str">
        <f t="shared" si="8"/>
        <v>Liberica</v>
      </c>
      <c r="O147" t="str">
        <f t="shared" si="9"/>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_xlfn.XLOOKUP(C148,customers!$A$2:$A$1001,customers!$B$2:$B$1001,0)</f>
        <v>Leonore Francisco</v>
      </c>
      <c r="G148" s="2" t="str">
        <f>_xlfn.XLOOKUP(C148,customers!$A$2:$A$1001,customers!$C$2:$C$1001,0)</f>
        <v>lfrancisco42@fema.gov</v>
      </c>
      <c r="H148" s="2" t="str">
        <f>_xlfn.XLOOKUP(orders!C148,customers!$A$2:$A$1001,customers!$G$2:$G$1001,0)</f>
        <v>United States</v>
      </c>
      <c r="I148" t="str">
        <f>INDEX(products!$A$1:$G$49,MATCH(orders!$D148,products!$A$1:$A$49,0),MATCH($I$1,products!$A$1:$G$1,0))</f>
        <v>Lib</v>
      </c>
      <c r="J148" t="str">
        <f>INDEX(products!$A$1:$G$49,MATCH(orders!$D148,products!$A$1:$A$49,0),MATCH($J$1,products!$A$1:$G$1,0))</f>
        <v>M</v>
      </c>
      <c r="K148" s="1">
        <f>INDEX(products!$A$1:$G$49,MATCH(orders!$D148,products!$A$1:$A$49,0),MATCH($K$1,products!$A$1:$G$1,0))</f>
        <v>1</v>
      </c>
      <c r="L148">
        <f>INDEX(products!$A$1:$G$49,MATCH(orders!$D148,products!$A$1:$A$49,0),MATCH($L$1,products!$A$1:$G$1,0))</f>
        <v>14.55</v>
      </c>
      <c r="M148">
        <f t="shared" si="7"/>
        <v>43.650000000000006</v>
      </c>
      <c r="N148" t="str">
        <f t="shared" si="8"/>
        <v>Liberica</v>
      </c>
      <c r="O148" t="str">
        <f t="shared" si="9"/>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_xlfn.XLOOKUP(C149,customers!$A$2:$A$1001,customers!$B$2:$B$1001,0)</f>
        <v>Leonore Francisco</v>
      </c>
      <c r="G149" s="2" t="str">
        <f>_xlfn.XLOOKUP(C149,customers!$A$2:$A$1001,customers!$C$2:$C$1001,0)</f>
        <v>lfrancisco42@fema.gov</v>
      </c>
      <c r="H149" s="2" t="str">
        <f>_xlfn.XLOOKUP(orders!C149,customers!$A$2:$A$1001,customers!$G$2:$G$1001,0)</f>
        <v>United States</v>
      </c>
      <c r="I149" t="str">
        <f>INDEX(products!$A$1:$G$49,MATCH(orders!$D149,products!$A$1:$A$49,0),MATCH($I$1,products!$A$1:$G$1,0))</f>
        <v>Exc</v>
      </c>
      <c r="J149" t="str">
        <f>INDEX(products!$A$1:$G$49,MATCH(orders!$D149,products!$A$1:$A$49,0),MATCH($J$1,products!$A$1:$G$1,0))</f>
        <v>M</v>
      </c>
      <c r="K149" s="1">
        <f>INDEX(products!$A$1:$G$49,MATCH(orders!$D149,products!$A$1:$A$49,0),MATCH($K$1,products!$A$1:$G$1,0))</f>
        <v>1</v>
      </c>
      <c r="L149">
        <f>INDEX(products!$A$1:$G$49,MATCH(orders!$D149,products!$A$1:$A$49,0),MATCH($L$1,products!$A$1:$G$1,0))</f>
        <v>13.75</v>
      </c>
      <c r="M149">
        <f t="shared" si="7"/>
        <v>27.5</v>
      </c>
      <c r="N149" t="str">
        <f t="shared" si="8"/>
        <v>Excelsa</v>
      </c>
      <c r="O149" t="str">
        <f t="shared" si="9"/>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_xlfn.XLOOKUP(C150,customers!$A$2:$A$1001,customers!$B$2:$B$1001,0)</f>
        <v>Giacobo Skingle</v>
      </c>
      <c r="G150" s="2" t="str">
        <f>_xlfn.XLOOKUP(C150,customers!$A$2:$A$1001,customers!$C$2:$C$1001,0)</f>
        <v>gskingle44@clickbank.net</v>
      </c>
      <c r="H150" s="2" t="str">
        <f>_xlfn.XLOOKUP(orders!C150,customers!$A$2:$A$1001,customers!$G$2:$G$1001,0)</f>
        <v>United States</v>
      </c>
      <c r="I150" t="str">
        <f>INDEX(products!$A$1:$G$49,MATCH(orders!$D150,products!$A$1:$A$49,0),MATCH($I$1,products!$A$1:$G$1,0))</f>
        <v>Exc</v>
      </c>
      <c r="J150" t="str">
        <f>INDEX(products!$A$1:$G$49,MATCH(orders!$D150,products!$A$1:$A$49,0),MATCH($J$1,products!$A$1:$G$1,0))</f>
        <v>D</v>
      </c>
      <c r="K150" s="1">
        <f>INDEX(products!$A$1:$G$49,MATCH(orders!$D150,products!$A$1:$A$49,0),MATCH($K$1,products!$A$1:$G$1,0))</f>
        <v>0.2</v>
      </c>
      <c r="L150">
        <f>INDEX(products!$A$1:$G$49,MATCH(orders!$D150,products!$A$1:$A$49,0),MATCH($L$1,products!$A$1:$G$1,0))</f>
        <v>3.645</v>
      </c>
      <c r="M150">
        <f t="shared" si="7"/>
        <v>18.225000000000001</v>
      </c>
      <c r="N150" t="str">
        <f t="shared" si="8"/>
        <v>Excelsa</v>
      </c>
      <c r="O150" t="str">
        <f t="shared" si="9"/>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_xlfn.XLOOKUP(C151,customers!$A$2:$A$1001,customers!$B$2:$B$1001,0)</f>
        <v>Gerard Pirdy</v>
      </c>
      <c r="G151" s="2">
        <f>_xlfn.XLOOKUP(C151,customers!$A$2:$A$1001,customers!$C$2:$C$1001,0)</f>
        <v>0</v>
      </c>
      <c r="H151" s="2" t="str">
        <f>_xlfn.XLOOKUP(orders!C151,customers!$A$2:$A$1001,customers!$G$2:$G$1001,0)</f>
        <v>United States</v>
      </c>
      <c r="I151" t="str">
        <f>INDEX(products!$A$1:$G$49,MATCH(orders!$D151,products!$A$1:$A$49,0),MATCH($I$1,products!$A$1:$G$1,0))</f>
        <v>Ara</v>
      </c>
      <c r="J151" t="str">
        <f>INDEX(products!$A$1:$G$49,MATCH(orders!$D151,products!$A$1:$A$49,0),MATCH($J$1,products!$A$1:$G$1,0))</f>
        <v>M</v>
      </c>
      <c r="K151" s="1">
        <f>INDEX(products!$A$1:$G$49,MATCH(orders!$D151,products!$A$1:$A$49,0),MATCH($K$1,products!$A$1:$G$1,0))</f>
        <v>2.5</v>
      </c>
      <c r="L151">
        <f>INDEX(products!$A$1:$G$49,MATCH(orders!$D151,products!$A$1:$A$49,0),MATCH($L$1,products!$A$1:$G$1,0))</f>
        <v>25.874999999999996</v>
      </c>
      <c r="M151">
        <f t="shared" si="7"/>
        <v>51.749999999999993</v>
      </c>
      <c r="N151" t="str">
        <f t="shared" si="8"/>
        <v>Arabica</v>
      </c>
      <c r="O151" t="str">
        <f t="shared" si="9"/>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_xlfn.XLOOKUP(C152,customers!$A$2:$A$1001,customers!$B$2:$B$1001,0)</f>
        <v>Jacinthe Balsillie</v>
      </c>
      <c r="G152" s="2" t="str">
        <f>_xlfn.XLOOKUP(C152,customers!$A$2:$A$1001,customers!$C$2:$C$1001,0)</f>
        <v>jbalsillie46@princeton.edu</v>
      </c>
      <c r="H152" s="2" t="str">
        <f>_xlfn.XLOOKUP(orders!C152,customers!$A$2:$A$1001,customers!$G$2:$G$1001,0)</f>
        <v>United States</v>
      </c>
      <c r="I152" t="str">
        <f>INDEX(products!$A$1:$G$49,MATCH(orders!$D152,products!$A$1:$A$49,0),MATCH($I$1,products!$A$1:$G$1,0))</f>
        <v>Lib</v>
      </c>
      <c r="J152" t="str">
        <f>INDEX(products!$A$1:$G$49,MATCH(orders!$D152,products!$A$1:$A$49,0),MATCH($J$1,products!$A$1:$G$1,0))</f>
        <v>D</v>
      </c>
      <c r="K152" s="1">
        <f>INDEX(products!$A$1:$G$49,MATCH(orders!$D152,products!$A$1:$A$49,0),MATCH($K$1,products!$A$1:$G$1,0))</f>
        <v>1</v>
      </c>
      <c r="L152">
        <f>INDEX(products!$A$1:$G$49,MATCH(orders!$D152,products!$A$1:$A$49,0),MATCH($L$1,products!$A$1:$G$1,0))</f>
        <v>12.95</v>
      </c>
      <c r="M152">
        <f t="shared" si="7"/>
        <v>12.95</v>
      </c>
      <c r="N152" t="str">
        <f t="shared" si="8"/>
        <v>Liberica</v>
      </c>
      <c r="O152" t="str">
        <f t="shared" si="9"/>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_xlfn.XLOOKUP(C153,customers!$A$2:$A$1001,customers!$B$2:$B$1001,0)</f>
        <v>Quinton Fouracres</v>
      </c>
      <c r="G153" s="2">
        <f>_xlfn.XLOOKUP(C153,customers!$A$2:$A$1001,customers!$C$2:$C$1001,0)</f>
        <v>0</v>
      </c>
      <c r="H153" s="2" t="str">
        <f>_xlfn.XLOOKUP(orders!C153,customers!$A$2:$A$1001,customers!$G$2:$G$1001,0)</f>
        <v>United States</v>
      </c>
      <c r="I153" t="str">
        <f>INDEX(products!$A$1:$G$49,MATCH(orders!$D153,products!$A$1:$A$49,0),MATCH($I$1,products!$A$1:$G$1,0))</f>
        <v>Ara</v>
      </c>
      <c r="J153" t="str">
        <f>INDEX(products!$A$1:$G$49,MATCH(orders!$D153,products!$A$1:$A$49,0),MATCH($J$1,products!$A$1:$G$1,0))</f>
        <v>M</v>
      </c>
      <c r="K153" s="1">
        <f>INDEX(products!$A$1:$G$49,MATCH(orders!$D153,products!$A$1:$A$49,0),MATCH($K$1,products!$A$1:$G$1,0))</f>
        <v>1</v>
      </c>
      <c r="L153">
        <f>INDEX(products!$A$1:$G$49,MATCH(orders!$D153,products!$A$1:$A$49,0),MATCH($L$1,products!$A$1:$G$1,0))</f>
        <v>11.25</v>
      </c>
      <c r="M153">
        <f t="shared" si="7"/>
        <v>33.75</v>
      </c>
      <c r="N153" t="str">
        <f t="shared" si="8"/>
        <v>Arabica</v>
      </c>
      <c r="O153" t="str">
        <f t="shared" si="9"/>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_xlfn.XLOOKUP(C154,customers!$A$2:$A$1001,customers!$B$2:$B$1001,0)</f>
        <v>Bettina Leffek</v>
      </c>
      <c r="G154" s="2" t="str">
        <f>_xlfn.XLOOKUP(C154,customers!$A$2:$A$1001,customers!$C$2:$C$1001,0)</f>
        <v>bleffek48@ning.com</v>
      </c>
      <c r="H154" s="2" t="str">
        <f>_xlfn.XLOOKUP(orders!C154,customers!$A$2:$A$1001,customers!$G$2:$G$1001,0)</f>
        <v>United States</v>
      </c>
      <c r="I154" t="str">
        <f>INDEX(products!$A$1:$G$49,MATCH(orders!$D154,products!$A$1:$A$49,0),MATCH($I$1,products!$A$1:$G$1,0))</f>
        <v>Rob</v>
      </c>
      <c r="J154" t="str">
        <f>INDEX(products!$A$1:$G$49,MATCH(orders!$D154,products!$A$1:$A$49,0),MATCH($J$1,products!$A$1:$G$1,0))</f>
        <v>M</v>
      </c>
      <c r="K154" s="1">
        <f>INDEX(products!$A$1:$G$49,MATCH(orders!$D154,products!$A$1:$A$49,0),MATCH($K$1,products!$A$1:$G$1,0))</f>
        <v>2.5</v>
      </c>
      <c r="L154">
        <f>INDEX(products!$A$1:$G$49,MATCH(orders!$D154,products!$A$1:$A$49,0),MATCH($L$1,products!$A$1:$G$1,0))</f>
        <v>22.884999999999998</v>
      </c>
      <c r="M154">
        <f t="shared" si="7"/>
        <v>68.655000000000001</v>
      </c>
      <c r="N154" t="str">
        <f t="shared" si="8"/>
        <v>Robusta</v>
      </c>
      <c r="O154" t="str">
        <f t="shared" si="9"/>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_xlfn.XLOOKUP(C155,customers!$A$2:$A$1001,customers!$B$2:$B$1001,0)</f>
        <v>Hetti Penson</v>
      </c>
      <c r="G155" s="2">
        <f>_xlfn.XLOOKUP(C155,customers!$A$2:$A$1001,customers!$C$2:$C$1001,0)</f>
        <v>0</v>
      </c>
      <c r="H155" s="2" t="str">
        <f>_xlfn.XLOOKUP(orders!C155,customers!$A$2:$A$1001,customers!$G$2:$G$1001,0)</f>
        <v>United States</v>
      </c>
      <c r="I155" t="str">
        <f>INDEX(products!$A$1:$G$49,MATCH(orders!$D155,products!$A$1:$A$49,0),MATCH($I$1,products!$A$1:$G$1,0))</f>
        <v>Rob</v>
      </c>
      <c r="J155" t="str">
        <f>INDEX(products!$A$1:$G$49,MATCH(orders!$D155,products!$A$1:$A$49,0),MATCH($J$1,products!$A$1:$G$1,0))</f>
        <v>D</v>
      </c>
      <c r="K155" s="1">
        <f>INDEX(products!$A$1:$G$49,MATCH(orders!$D155,products!$A$1:$A$49,0),MATCH($K$1,products!$A$1:$G$1,0))</f>
        <v>0.2</v>
      </c>
      <c r="L155">
        <f>INDEX(products!$A$1:$G$49,MATCH(orders!$D155,products!$A$1:$A$49,0),MATCH($L$1,products!$A$1:$G$1,0))</f>
        <v>2.6849999999999996</v>
      </c>
      <c r="M155">
        <f t="shared" si="7"/>
        <v>2.6849999999999996</v>
      </c>
      <c r="N155" t="str">
        <f t="shared" si="8"/>
        <v>Robusta</v>
      </c>
      <c r="O155" t="str">
        <f t="shared" si="9"/>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_xlfn.XLOOKUP(C156,customers!$A$2:$A$1001,customers!$B$2:$B$1001,0)</f>
        <v>Jocko Pray</v>
      </c>
      <c r="G156" s="2" t="str">
        <f>_xlfn.XLOOKUP(C156,customers!$A$2:$A$1001,customers!$C$2:$C$1001,0)</f>
        <v>jpray4a@youtube.com</v>
      </c>
      <c r="H156" s="2" t="str">
        <f>_xlfn.XLOOKUP(orders!C156,customers!$A$2:$A$1001,customers!$G$2:$G$1001,0)</f>
        <v>United States</v>
      </c>
      <c r="I156" t="str">
        <f>INDEX(products!$A$1:$G$49,MATCH(orders!$D156,products!$A$1:$A$49,0),MATCH($I$1,products!$A$1:$G$1,0))</f>
        <v>Ara</v>
      </c>
      <c r="J156" t="str">
        <f>INDEX(products!$A$1:$G$49,MATCH(orders!$D156,products!$A$1:$A$49,0),MATCH($J$1,products!$A$1:$G$1,0))</f>
        <v>D</v>
      </c>
      <c r="K156" s="1">
        <f>INDEX(products!$A$1:$G$49,MATCH(orders!$D156,products!$A$1:$A$49,0),MATCH($K$1,products!$A$1:$G$1,0))</f>
        <v>2.5</v>
      </c>
      <c r="L156">
        <f>INDEX(products!$A$1:$G$49,MATCH(orders!$D156,products!$A$1:$A$49,0),MATCH($L$1,products!$A$1:$G$1,0))</f>
        <v>22.884999999999998</v>
      </c>
      <c r="M156">
        <f t="shared" si="7"/>
        <v>114.42499999999998</v>
      </c>
      <c r="N156" t="str">
        <f t="shared" si="8"/>
        <v>Arabica</v>
      </c>
      <c r="O156" t="str">
        <f t="shared" si="9"/>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_xlfn.XLOOKUP(C157,customers!$A$2:$A$1001,customers!$B$2:$B$1001,0)</f>
        <v>Grete Holborn</v>
      </c>
      <c r="G157" s="2" t="str">
        <f>_xlfn.XLOOKUP(C157,customers!$A$2:$A$1001,customers!$C$2:$C$1001,0)</f>
        <v>gholborn4b@ow.ly</v>
      </c>
      <c r="H157" s="2" t="str">
        <f>_xlfn.XLOOKUP(orders!C157,customers!$A$2:$A$1001,customers!$G$2:$G$1001,0)</f>
        <v>United States</v>
      </c>
      <c r="I157" t="str">
        <f>INDEX(products!$A$1:$G$49,MATCH(orders!$D157,products!$A$1:$A$49,0),MATCH($I$1,products!$A$1:$G$1,0))</f>
        <v>Ara</v>
      </c>
      <c r="J157" t="str">
        <f>INDEX(products!$A$1:$G$49,MATCH(orders!$D157,products!$A$1:$A$49,0),MATCH($J$1,products!$A$1:$G$1,0))</f>
        <v>M</v>
      </c>
      <c r="K157" s="1">
        <f>INDEX(products!$A$1:$G$49,MATCH(orders!$D157,products!$A$1:$A$49,0),MATCH($K$1,products!$A$1:$G$1,0))</f>
        <v>2.5</v>
      </c>
      <c r="L157">
        <f>INDEX(products!$A$1:$G$49,MATCH(orders!$D157,products!$A$1:$A$49,0),MATCH($L$1,products!$A$1:$G$1,0))</f>
        <v>25.874999999999996</v>
      </c>
      <c r="M157">
        <f t="shared" si="7"/>
        <v>155.24999999999997</v>
      </c>
      <c r="N157" t="str">
        <f t="shared" si="8"/>
        <v>Arabica</v>
      </c>
      <c r="O157" t="str">
        <f t="shared" si="9"/>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_xlfn.XLOOKUP(C158,customers!$A$2:$A$1001,customers!$B$2:$B$1001,0)</f>
        <v>Fielding Keinrat</v>
      </c>
      <c r="G158" s="2" t="str">
        <f>_xlfn.XLOOKUP(C158,customers!$A$2:$A$1001,customers!$C$2:$C$1001,0)</f>
        <v>fkeinrat4c@dailymail.co.uk</v>
      </c>
      <c r="H158" s="2" t="str">
        <f>_xlfn.XLOOKUP(orders!C158,customers!$A$2:$A$1001,customers!$G$2:$G$1001,0)</f>
        <v>United States</v>
      </c>
      <c r="I158" t="str">
        <f>INDEX(products!$A$1:$G$49,MATCH(orders!$D158,products!$A$1:$A$49,0),MATCH($I$1,products!$A$1:$G$1,0))</f>
        <v>Ara</v>
      </c>
      <c r="J158" t="str">
        <f>INDEX(products!$A$1:$G$49,MATCH(orders!$D158,products!$A$1:$A$49,0),MATCH($J$1,products!$A$1:$G$1,0))</f>
        <v>M</v>
      </c>
      <c r="K158" s="1">
        <f>INDEX(products!$A$1:$G$49,MATCH(orders!$D158,products!$A$1:$A$49,0),MATCH($K$1,products!$A$1:$G$1,0))</f>
        <v>2.5</v>
      </c>
      <c r="L158">
        <f>INDEX(products!$A$1:$G$49,MATCH(orders!$D158,products!$A$1:$A$49,0),MATCH($L$1,products!$A$1:$G$1,0))</f>
        <v>25.874999999999996</v>
      </c>
      <c r="M158">
        <f t="shared" si="7"/>
        <v>77.624999999999986</v>
      </c>
      <c r="N158" t="str">
        <f t="shared" si="8"/>
        <v>Arabica</v>
      </c>
      <c r="O158" t="str">
        <f t="shared" si="9"/>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_xlfn.XLOOKUP(C159,customers!$A$2:$A$1001,customers!$B$2:$B$1001,0)</f>
        <v>Paulo Yea</v>
      </c>
      <c r="G159" s="2" t="str">
        <f>_xlfn.XLOOKUP(C159,customers!$A$2:$A$1001,customers!$C$2:$C$1001,0)</f>
        <v>pyea4d@aol.com</v>
      </c>
      <c r="H159" s="2" t="str">
        <f>_xlfn.XLOOKUP(orders!C159,customers!$A$2:$A$1001,customers!$G$2:$G$1001,0)</f>
        <v>Ireland</v>
      </c>
      <c r="I159" t="str">
        <f>INDEX(products!$A$1:$G$49,MATCH(orders!$D159,products!$A$1:$A$49,0),MATCH($I$1,products!$A$1:$G$1,0))</f>
        <v>Rob</v>
      </c>
      <c r="J159" t="str">
        <f>INDEX(products!$A$1:$G$49,MATCH(orders!$D159,products!$A$1:$A$49,0),MATCH($J$1,products!$A$1:$G$1,0))</f>
        <v>D</v>
      </c>
      <c r="K159" s="1">
        <f>INDEX(products!$A$1:$G$49,MATCH(orders!$D159,products!$A$1:$A$49,0),MATCH($K$1,products!$A$1:$G$1,0))</f>
        <v>2.5</v>
      </c>
      <c r="L159">
        <f>INDEX(products!$A$1:$G$49,MATCH(orders!$D159,products!$A$1:$A$49,0),MATCH($L$1,products!$A$1:$G$1,0))</f>
        <v>20.584999999999997</v>
      </c>
      <c r="M159">
        <f t="shared" si="7"/>
        <v>61.754999999999995</v>
      </c>
      <c r="N159" t="str">
        <f t="shared" si="8"/>
        <v>Robusta</v>
      </c>
      <c r="O159" t="str">
        <f t="shared" si="9"/>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_xlfn.XLOOKUP(C160,customers!$A$2:$A$1001,customers!$B$2:$B$1001,0)</f>
        <v>Say Risborough</v>
      </c>
      <c r="G160" s="2">
        <f>_xlfn.XLOOKUP(C160,customers!$A$2:$A$1001,customers!$C$2:$C$1001,0)</f>
        <v>0</v>
      </c>
      <c r="H160" s="2" t="str">
        <f>_xlfn.XLOOKUP(orders!C160,customers!$A$2:$A$1001,customers!$G$2:$G$1001,0)</f>
        <v>United States</v>
      </c>
      <c r="I160" t="str">
        <f>INDEX(products!$A$1:$G$49,MATCH(orders!$D160,products!$A$1:$A$49,0),MATCH($I$1,products!$A$1:$G$1,0))</f>
        <v>Rob</v>
      </c>
      <c r="J160" t="str">
        <f>INDEX(products!$A$1:$G$49,MATCH(orders!$D160,products!$A$1:$A$49,0),MATCH($J$1,products!$A$1:$G$1,0))</f>
        <v>D</v>
      </c>
      <c r="K160" s="1">
        <f>INDEX(products!$A$1:$G$49,MATCH(orders!$D160,products!$A$1:$A$49,0),MATCH($K$1,products!$A$1:$G$1,0))</f>
        <v>2.5</v>
      </c>
      <c r="L160">
        <f>INDEX(products!$A$1:$G$49,MATCH(orders!$D160,products!$A$1:$A$49,0),MATCH($L$1,products!$A$1:$G$1,0))</f>
        <v>20.584999999999997</v>
      </c>
      <c r="M160">
        <f t="shared" si="7"/>
        <v>123.50999999999999</v>
      </c>
      <c r="N160" t="str">
        <f t="shared" si="8"/>
        <v>Robusta</v>
      </c>
      <c r="O160" t="str">
        <f t="shared" si="9"/>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_xlfn.XLOOKUP(C161,customers!$A$2:$A$1001,customers!$B$2:$B$1001,0)</f>
        <v>Alexa Sizey</v>
      </c>
      <c r="G161" s="2">
        <f>_xlfn.XLOOKUP(C161,customers!$A$2:$A$1001,customers!$C$2:$C$1001,0)</f>
        <v>0</v>
      </c>
      <c r="H161" s="2" t="str">
        <f>_xlfn.XLOOKUP(orders!C161,customers!$A$2:$A$1001,customers!$G$2:$G$1001,0)</f>
        <v>United States</v>
      </c>
      <c r="I161" t="str">
        <f>INDEX(products!$A$1:$G$49,MATCH(orders!$D161,products!$A$1:$A$49,0),MATCH($I$1,products!$A$1:$G$1,0))</f>
        <v>Lib</v>
      </c>
      <c r="J161" t="str">
        <f>INDEX(products!$A$1:$G$49,MATCH(orders!$D161,products!$A$1:$A$49,0),MATCH($J$1,products!$A$1:$G$1,0))</f>
        <v>L</v>
      </c>
      <c r="K161" s="1">
        <f>INDEX(products!$A$1:$G$49,MATCH(orders!$D161,products!$A$1:$A$49,0),MATCH($K$1,products!$A$1:$G$1,0))</f>
        <v>2.5</v>
      </c>
      <c r="L161">
        <f>INDEX(products!$A$1:$G$49,MATCH(orders!$D161,products!$A$1:$A$49,0),MATCH($L$1,products!$A$1:$G$1,0))</f>
        <v>36.454999999999998</v>
      </c>
      <c r="M161">
        <f t="shared" si="7"/>
        <v>218.73</v>
      </c>
      <c r="N161" t="str">
        <f t="shared" si="8"/>
        <v>Liberica</v>
      </c>
      <c r="O161" t="str">
        <f t="shared" si="9"/>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_xlfn.XLOOKUP(C162,customers!$A$2:$A$1001,customers!$B$2:$B$1001,0)</f>
        <v>Kari Swede</v>
      </c>
      <c r="G162" s="2" t="str">
        <f>_xlfn.XLOOKUP(C162,customers!$A$2:$A$1001,customers!$C$2:$C$1001,0)</f>
        <v>kswede4g@addthis.com</v>
      </c>
      <c r="H162" s="2" t="str">
        <f>_xlfn.XLOOKUP(orders!C162,customers!$A$2:$A$1001,customers!$G$2:$G$1001,0)</f>
        <v>United States</v>
      </c>
      <c r="I162" t="str">
        <f>INDEX(products!$A$1:$G$49,MATCH(orders!$D162,products!$A$1:$A$49,0),MATCH($I$1,products!$A$1:$G$1,0))</f>
        <v>Exc</v>
      </c>
      <c r="J162" t="str">
        <f>INDEX(products!$A$1:$G$49,MATCH(orders!$D162,products!$A$1:$A$49,0),MATCH($J$1,products!$A$1:$G$1,0))</f>
        <v>M</v>
      </c>
      <c r="K162" s="1">
        <f>INDEX(products!$A$1:$G$49,MATCH(orders!$D162,products!$A$1:$A$49,0),MATCH($K$1,products!$A$1:$G$1,0))</f>
        <v>0.5</v>
      </c>
      <c r="L162">
        <f>INDEX(products!$A$1:$G$49,MATCH(orders!$D162,products!$A$1:$A$49,0),MATCH($L$1,products!$A$1:$G$1,0))</f>
        <v>8.25</v>
      </c>
      <c r="M162">
        <f t="shared" si="7"/>
        <v>33</v>
      </c>
      <c r="N162" t="str">
        <f t="shared" si="8"/>
        <v>Excelsa</v>
      </c>
      <c r="O162" t="str">
        <f t="shared" si="9"/>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_xlfn.XLOOKUP(C163,customers!$A$2:$A$1001,customers!$B$2:$B$1001,0)</f>
        <v>Leontine Rubrow</v>
      </c>
      <c r="G163" s="2" t="str">
        <f>_xlfn.XLOOKUP(C163,customers!$A$2:$A$1001,customers!$C$2:$C$1001,0)</f>
        <v>lrubrow4h@microsoft.com</v>
      </c>
      <c r="H163" s="2" t="str">
        <f>_xlfn.XLOOKUP(orders!C163,customers!$A$2:$A$1001,customers!$G$2:$G$1001,0)</f>
        <v>United States</v>
      </c>
      <c r="I163" t="str">
        <f>INDEX(products!$A$1:$G$49,MATCH(orders!$D163,products!$A$1:$A$49,0),MATCH($I$1,products!$A$1:$G$1,0))</f>
        <v>Ara</v>
      </c>
      <c r="J163" t="str">
        <f>INDEX(products!$A$1:$G$49,MATCH(orders!$D163,products!$A$1:$A$49,0),MATCH($J$1,products!$A$1:$G$1,0))</f>
        <v>L</v>
      </c>
      <c r="K163" s="1">
        <f>INDEX(products!$A$1:$G$49,MATCH(orders!$D163,products!$A$1:$A$49,0),MATCH($K$1,products!$A$1:$G$1,0))</f>
        <v>0.5</v>
      </c>
      <c r="L163">
        <f>INDEX(products!$A$1:$G$49,MATCH(orders!$D163,products!$A$1:$A$49,0),MATCH($L$1,products!$A$1:$G$1,0))</f>
        <v>7.77</v>
      </c>
      <c r="M163">
        <f t="shared" si="7"/>
        <v>23.31</v>
      </c>
      <c r="N163" t="str">
        <f t="shared" si="8"/>
        <v>Arabica</v>
      </c>
      <c r="O163" t="str">
        <f t="shared" si="9"/>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_xlfn.XLOOKUP(C164,customers!$A$2:$A$1001,customers!$B$2:$B$1001,0)</f>
        <v>Dottie Tift</v>
      </c>
      <c r="G164" s="2" t="str">
        <f>_xlfn.XLOOKUP(C164,customers!$A$2:$A$1001,customers!$C$2:$C$1001,0)</f>
        <v>dtift4i@netvibes.com</v>
      </c>
      <c r="H164" s="2" t="str">
        <f>_xlfn.XLOOKUP(orders!C164,customers!$A$2:$A$1001,customers!$G$2:$G$1001,0)</f>
        <v>United States</v>
      </c>
      <c r="I164" t="str">
        <f>INDEX(products!$A$1:$G$49,MATCH(orders!$D164,products!$A$1:$A$49,0),MATCH($I$1,products!$A$1:$G$1,0))</f>
        <v>Exc</v>
      </c>
      <c r="J164" t="str">
        <f>INDEX(products!$A$1:$G$49,MATCH(orders!$D164,products!$A$1:$A$49,0),MATCH($J$1,products!$A$1:$G$1,0))</f>
        <v>D</v>
      </c>
      <c r="K164" s="1">
        <f>INDEX(products!$A$1:$G$49,MATCH(orders!$D164,products!$A$1:$A$49,0),MATCH($K$1,products!$A$1:$G$1,0))</f>
        <v>0.5</v>
      </c>
      <c r="L164">
        <f>INDEX(products!$A$1:$G$49,MATCH(orders!$D164,products!$A$1:$A$49,0),MATCH($L$1,products!$A$1:$G$1,0))</f>
        <v>7.29</v>
      </c>
      <c r="M164">
        <f t="shared" si="7"/>
        <v>21.87</v>
      </c>
      <c r="N164" t="str">
        <f t="shared" si="8"/>
        <v>Excelsa</v>
      </c>
      <c r="O164" t="str">
        <f t="shared" si="9"/>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_xlfn.XLOOKUP(C165,customers!$A$2:$A$1001,customers!$B$2:$B$1001,0)</f>
        <v>Gerardo Schonfeld</v>
      </c>
      <c r="G165" s="2" t="str">
        <f>_xlfn.XLOOKUP(C165,customers!$A$2:$A$1001,customers!$C$2:$C$1001,0)</f>
        <v>gschonfeld4j@oracle.com</v>
      </c>
      <c r="H165" s="2" t="str">
        <f>_xlfn.XLOOKUP(orders!C165,customers!$A$2:$A$1001,customers!$G$2:$G$1001,0)</f>
        <v>United States</v>
      </c>
      <c r="I165" t="str">
        <f>INDEX(products!$A$1:$G$49,MATCH(orders!$D165,products!$A$1:$A$49,0),MATCH($I$1,products!$A$1:$G$1,0))</f>
        <v>Rob</v>
      </c>
      <c r="J165" t="str">
        <f>INDEX(products!$A$1:$G$49,MATCH(orders!$D165,products!$A$1:$A$49,0),MATCH($J$1,products!$A$1:$G$1,0))</f>
        <v>D</v>
      </c>
      <c r="K165" s="1">
        <f>INDEX(products!$A$1:$G$49,MATCH(orders!$D165,products!$A$1:$A$49,0),MATCH($K$1,products!$A$1:$G$1,0))</f>
        <v>0.2</v>
      </c>
      <c r="L165">
        <f>INDEX(products!$A$1:$G$49,MATCH(orders!$D165,products!$A$1:$A$49,0),MATCH($L$1,products!$A$1:$G$1,0))</f>
        <v>2.6849999999999996</v>
      </c>
      <c r="M165">
        <f t="shared" si="7"/>
        <v>16.11</v>
      </c>
      <c r="N165" t="str">
        <f t="shared" si="8"/>
        <v>Robusta</v>
      </c>
      <c r="O165" t="str">
        <f t="shared" si="9"/>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_xlfn.XLOOKUP(C166,customers!$A$2:$A$1001,customers!$B$2:$B$1001,0)</f>
        <v>Claiborne Feye</v>
      </c>
      <c r="G166" s="2" t="str">
        <f>_xlfn.XLOOKUP(C166,customers!$A$2:$A$1001,customers!$C$2:$C$1001,0)</f>
        <v>cfeye4k@google.co.jp</v>
      </c>
      <c r="H166" s="2" t="str">
        <f>_xlfn.XLOOKUP(orders!C166,customers!$A$2:$A$1001,customers!$G$2:$G$1001,0)</f>
        <v>Ireland</v>
      </c>
      <c r="I166" t="str">
        <f>INDEX(products!$A$1:$G$49,MATCH(orders!$D166,products!$A$1:$A$49,0),MATCH($I$1,products!$A$1:$G$1,0))</f>
        <v>Exc</v>
      </c>
      <c r="J166" t="str">
        <f>INDEX(products!$A$1:$G$49,MATCH(orders!$D166,products!$A$1:$A$49,0),MATCH($J$1,products!$A$1:$G$1,0))</f>
        <v>D</v>
      </c>
      <c r="K166" s="1">
        <f>INDEX(products!$A$1:$G$49,MATCH(orders!$D166,products!$A$1:$A$49,0),MATCH($K$1,products!$A$1:$G$1,0))</f>
        <v>0.5</v>
      </c>
      <c r="L166">
        <f>INDEX(products!$A$1:$G$49,MATCH(orders!$D166,products!$A$1:$A$49,0),MATCH($L$1,products!$A$1:$G$1,0))</f>
        <v>7.29</v>
      </c>
      <c r="M166">
        <f t="shared" si="7"/>
        <v>29.16</v>
      </c>
      <c r="N166" t="str">
        <f t="shared" si="8"/>
        <v>Excelsa</v>
      </c>
      <c r="O166" t="str">
        <f t="shared" si="9"/>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_xlfn.XLOOKUP(C167,customers!$A$2:$A$1001,customers!$B$2:$B$1001,0)</f>
        <v>Mina Elstone</v>
      </c>
      <c r="G167" s="2">
        <f>_xlfn.XLOOKUP(C167,customers!$A$2:$A$1001,customers!$C$2:$C$1001,0)</f>
        <v>0</v>
      </c>
      <c r="H167" s="2" t="str">
        <f>_xlfn.XLOOKUP(orders!C167,customers!$A$2:$A$1001,customers!$G$2:$G$1001,0)</f>
        <v>United States</v>
      </c>
      <c r="I167" t="str">
        <f>INDEX(products!$A$1:$G$49,MATCH(orders!$D167,products!$A$1:$A$49,0),MATCH($I$1,products!$A$1:$G$1,0))</f>
        <v>Rob</v>
      </c>
      <c r="J167" t="str">
        <f>INDEX(products!$A$1:$G$49,MATCH(orders!$D167,products!$A$1:$A$49,0),MATCH($J$1,products!$A$1:$G$1,0))</f>
        <v>D</v>
      </c>
      <c r="K167" s="1">
        <f>INDEX(products!$A$1:$G$49,MATCH(orders!$D167,products!$A$1:$A$49,0),MATCH($K$1,products!$A$1:$G$1,0))</f>
        <v>1</v>
      </c>
      <c r="L167">
        <f>INDEX(products!$A$1:$G$49,MATCH(orders!$D167,products!$A$1:$A$49,0),MATCH($L$1,products!$A$1:$G$1,0))</f>
        <v>8.9499999999999993</v>
      </c>
      <c r="M167">
        <f t="shared" si="7"/>
        <v>53.699999999999996</v>
      </c>
      <c r="N167" t="str">
        <f t="shared" si="8"/>
        <v>Robusta</v>
      </c>
      <c r="O167" t="str">
        <f t="shared" si="9"/>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_xlfn.XLOOKUP(C168,customers!$A$2:$A$1001,customers!$B$2:$B$1001,0)</f>
        <v>Sherman Mewrcik</v>
      </c>
      <c r="G168" s="2">
        <f>_xlfn.XLOOKUP(C168,customers!$A$2:$A$1001,customers!$C$2:$C$1001,0)</f>
        <v>0</v>
      </c>
      <c r="H168" s="2" t="str">
        <f>_xlfn.XLOOKUP(orders!C168,customers!$A$2:$A$1001,customers!$G$2:$G$1001,0)</f>
        <v>United States</v>
      </c>
      <c r="I168" t="str">
        <f>INDEX(products!$A$1:$G$49,MATCH(orders!$D168,products!$A$1:$A$49,0),MATCH($I$1,products!$A$1:$G$1,0))</f>
        <v>Rob</v>
      </c>
      <c r="J168" t="str">
        <f>INDEX(products!$A$1:$G$49,MATCH(orders!$D168,products!$A$1:$A$49,0),MATCH($J$1,products!$A$1:$G$1,0))</f>
        <v>D</v>
      </c>
      <c r="K168" s="1">
        <f>INDEX(products!$A$1:$G$49,MATCH(orders!$D168,products!$A$1:$A$49,0),MATCH($K$1,products!$A$1:$G$1,0))</f>
        <v>0.5</v>
      </c>
      <c r="L168">
        <f>INDEX(products!$A$1:$G$49,MATCH(orders!$D168,products!$A$1:$A$49,0),MATCH($L$1,products!$A$1:$G$1,0))</f>
        <v>5.3699999999999992</v>
      </c>
      <c r="M168">
        <f t="shared" si="7"/>
        <v>26.849999999999994</v>
      </c>
      <c r="N168" t="str">
        <f t="shared" si="8"/>
        <v>Robusta</v>
      </c>
      <c r="O168" t="str">
        <f t="shared" si="9"/>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_xlfn.XLOOKUP(C169,customers!$A$2:$A$1001,customers!$B$2:$B$1001,0)</f>
        <v>Tamarah Fero</v>
      </c>
      <c r="G169" s="2" t="str">
        <f>_xlfn.XLOOKUP(C169,customers!$A$2:$A$1001,customers!$C$2:$C$1001,0)</f>
        <v>tfero4n@comsenz.com</v>
      </c>
      <c r="H169" s="2" t="str">
        <f>_xlfn.XLOOKUP(orders!C169,customers!$A$2:$A$1001,customers!$G$2:$G$1001,0)</f>
        <v>United States</v>
      </c>
      <c r="I169" t="str">
        <f>INDEX(products!$A$1:$G$49,MATCH(orders!$D169,products!$A$1:$A$49,0),MATCH($I$1,products!$A$1:$G$1,0))</f>
        <v>Exc</v>
      </c>
      <c r="J169" t="str">
        <f>INDEX(products!$A$1:$G$49,MATCH(orders!$D169,products!$A$1:$A$49,0),MATCH($J$1,products!$A$1:$G$1,0))</f>
        <v>M</v>
      </c>
      <c r="K169" s="1">
        <f>INDEX(products!$A$1:$G$49,MATCH(orders!$D169,products!$A$1:$A$49,0),MATCH($K$1,products!$A$1:$G$1,0))</f>
        <v>0.5</v>
      </c>
      <c r="L169">
        <f>INDEX(products!$A$1:$G$49,MATCH(orders!$D169,products!$A$1:$A$49,0),MATCH($L$1,products!$A$1:$G$1,0))</f>
        <v>8.25</v>
      </c>
      <c r="M169">
        <f t="shared" si="7"/>
        <v>41.25</v>
      </c>
      <c r="N169" t="str">
        <f t="shared" si="8"/>
        <v>Excelsa</v>
      </c>
      <c r="O169" t="str">
        <f t="shared" si="9"/>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_xlfn.XLOOKUP(C170,customers!$A$2:$A$1001,customers!$B$2:$B$1001,0)</f>
        <v>Stanislaus Valsler</v>
      </c>
      <c r="G170" s="2">
        <f>_xlfn.XLOOKUP(C170,customers!$A$2:$A$1001,customers!$C$2:$C$1001,0)</f>
        <v>0</v>
      </c>
      <c r="H170" s="2" t="str">
        <f>_xlfn.XLOOKUP(orders!C170,customers!$A$2:$A$1001,customers!$G$2:$G$1001,0)</f>
        <v>Ireland</v>
      </c>
      <c r="I170" t="str">
        <f>INDEX(products!$A$1:$G$49,MATCH(orders!$D170,products!$A$1:$A$49,0),MATCH($I$1,products!$A$1:$G$1,0))</f>
        <v>Ara</v>
      </c>
      <c r="J170" t="str">
        <f>INDEX(products!$A$1:$G$49,MATCH(orders!$D170,products!$A$1:$A$49,0),MATCH($J$1,products!$A$1:$G$1,0))</f>
        <v>M</v>
      </c>
      <c r="K170" s="1">
        <f>INDEX(products!$A$1:$G$49,MATCH(orders!$D170,products!$A$1:$A$49,0),MATCH($K$1,products!$A$1:$G$1,0))</f>
        <v>0.5</v>
      </c>
      <c r="L170">
        <f>INDEX(products!$A$1:$G$49,MATCH(orders!$D170,products!$A$1:$A$49,0),MATCH($L$1,products!$A$1:$G$1,0))</f>
        <v>6.75</v>
      </c>
      <c r="M170">
        <f t="shared" si="7"/>
        <v>40.5</v>
      </c>
      <c r="N170" t="str">
        <f t="shared" si="8"/>
        <v>Arabica</v>
      </c>
      <c r="O170" t="str">
        <f t="shared" si="9"/>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_xlfn.XLOOKUP(C171,customers!$A$2:$A$1001,customers!$B$2:$B$1001,0)</f>
        <v>Felita Dauney</v>
      </c>
      <c r="G171" s="2" t="str">
        <f>_xlfn.XLOOKUP(C171,customers!$A$2:$A$1001,customers!$C$2:$C$1001,0)</f>
        <v>fdauney4p@sphinn.com</v>
      </c>
      <c r="H171" s="2" t="str">
        <f>_xlfn.XLOOKUP(orders!C171,customers!$A$2:$A$1001,customers!$G$2:$G$1001,0)</f>
        <v>Ireland</v>
      </c>
      <c r="I171" t="str">
        <f>INDEX(products!$A$1:$G$49,MATCH(orders!$D171,products!$A$1:$A$49,0),MATCH($I$1,products!$A$1:$G$1,0))</f>
        <v>Rob</v>
      </c>
      <c r="J171" t="str">
        <f>INDEX(products!$A$1:$G$49,MATCH(orders!$D171,products!$A$1:$A$49,0),MATCH($J$1,products!$A$1:$G$1,0))</f>
        <v>D</v>
      </c>
      <c r="K171" s="1">
        <f>INDEX(products!$A$1:$G$49,MATCH(orders!$D171,products!$A$1:$A$49,0),MATCH($K$1,products!$A$1:$G$1,0))</f>
        <v>1</v>
      </c>
      <c r="L171">
        <f>INDEX(products!$A$1:$G$49,MATCH(orders!$D171,products!$A$1:$A$49,0),MATCH($L$1,products!$A$1:$G$1,0))</f>
        <v>8.9499999999999993</v>
      </c>
      <c r="M171">
        <f t="shared" si="7"/>
        <v>17.899999999999999</v>
      </c>
      <c r="N171" t="str">
        <f t="shared" si="8"/>
        <v>Robusta</v>
      </c>
      <c r="O171" t="str">
        <f t="shared" si="9"/>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_xlfn.XLOOKUP(C172,customers!$A$2:$A$1001,customers!$B$2:$B$1001,0)</f>
        <v>Serena Earley</v>
      </c>
      <c r="G172" s="2" t="str">
        <f>_xlfn.XLOOKUP(C172,customers!$A$2:$A$1001,customers!$C$2:$C$1001,0)</f>
        <v>searley4q@youku.com</v>
      </c>
      <c r="H172" s="2" t="str">
        <f>_xlfn.XLOOKUP(orders!C172,customers!$A$2:$A$1001,customers!$G$2:$G$1001,0)</f>
        <v>United Kingdom</v>
      </c>
      <c r="I172" t="str">
        <f>INDEX(products!$A$1:$G$49,MATCH(orders!$D172,products!$A$1:$A$49,0),MATCH($I$1,products!$A$1:$G$1,0))</f>
        <v>Exc</v>
      </c>
      <c r="J172" t="str">
        <f>INDEX(products!$A$1:$G$49,MATCH(orders!$D172,products!$A$1:$A$49,0),MATCH($J$1,products!$A$1:$G$1,0))</f>
        <v>L</v>
      </c>
      <c r="K172" s="1">
        <f>INDEX(products!$A$1:$G$49,MATCH(orders!$D172,products!$A$1:$A$49,0),MATCH($K$1,products!$A$1:$G$1,0))</f>
        <v>2.5</v>
      </c>
      <c r="L172">
        <f>INDEX(products!$A$1:$G$49,MATCH(orders!$D172,products!$A$1:$A$49,0),MATCH($L$1,products!$A$1:$G$1,0))</f>
        <v>34.154999999999994</v>
      </c>
      <c r="M172">
        <f t="shared" si="7"/>
        <v>68.309999999999988</v>
      </c>
      <c r="N172" t="str">
        <f t="shared" si="8"/>
        <v>Excelsa</v>
      </c>
      <c r="O172" t="str">
        <f t="shared" si="9"/>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_xlfn.XLOOKUP(C173,customers!$A$2:$A$1001,customers!$B$2:$B$1001,0)</f>
        <v>Minny Chamberlayne</v>
      </c>
      <c r="G173" s="2" t="str">
        <f>_xlfn.XLOOKUP(C173,customers!$A$2:$A$1001,customers!$C$2:$C$1001,0)</f>
        <v>mchamberlayne4r@bigcartel.com</v>
      </c>
      <c r="H173" s="2" t="str">
        <f>_xlfn.XLOOKUP(orders!C173,customers!$A$2:$A$1001,customers!$G$2:$G$1001,0)</f>
        <v>United States</v>
      </c>
      <c r="I173" t="str">
        <f>INDEX(products!$A$1:$G$49,MATCH(orders!$D173,products!$A$1:$A$49,0),MATCH($I$1,products!$A$1:$G$1,0))</f>
        <v>Exc</v>
      </c>
      <c r="J173" t="str">
        <f>INDEX(products!$A$1:$G$49,MATCH(orders!$D173,products!$A$1:$A$49,0),MATCH($J$1,products!$A$1:$G$1,0))</f>
        <v>M</v>
      </c>
      <c r="K173" s="1">
        <f>INDEX(products!$A$1:$G$49,MATCH(orders!$D173,products!$A$1:$A$49,0),MATCH($K$1,products!$A$1:$G$1,0))</f>
        <v>2.5</v>
      </c>
      <c r="L173">
        <f>INDEX(products!$A$1:$G$49,MATCH(orders!$D173,products!$A$1:$A$49,0),MATCH($L$1,products!$A$1:$G$1,0))</f>
        <v>31.624999999999996</v>
      </c>
      <c r="M173">
        <f t="shared" si="7"/>
        <v>63.249999999999993</v>
      </c>
      <c r="N173" t="str">
        <f t="shared" si="8"/>
        <v>Excelsa</v>
      </c>
      <c r="O173" t="str">
        <f t="shared" si="9"/>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_xlfn.XLOOKUP(C174,customers!$A$2:$A$1001,customers!$B$2:$B$1001,0)</f>
        <v>Bartholemy Flaherty</v>
      </c>
      <c r="G174" s="2" t="str">
        <f>_xlfn.XLOOKUP(C174,customers!$A$2:$A$1001,customers!$C$2:$C$1001,0)</f>
        <v>bflaherty4s@moonfruit.com</v>
      </c>
      <c r="H174" s="2" t="str">
        <f>_xlfn.XLOOKUP(orders!C174,customers!$A$2:$A$1001,customers!$G$2:$G$1001,0)</f>
        <v>Ireland</v>
      </c>
      <c r="I174" t="str">
        <f>INDEX(products!$A$1:$G$49,MATCH(orders!$D174,products!$A$1:$A$49,0),MATCH($I$1,products!$A$1:$G$1,0))</f>
        <v>Exc</v>
      </c>
      <c r="J174" t="str">
        <f>INDEX(products!$A$1:$G$49,MATCH(orders!$D174,products!$A$1:$A$49,0),MATCH($J$1,products!$A$1:$G$1,0))</f>
        <v>D</v>
      </c>
      <c r="K174" s="1">
        <f>INDEX(products!$A$1:$G$49,MATCH(orders!$D174,products!$A$1:$A$49,0),MATCH($K$1,products!$A$1:$G$1,0))</f>
        <v>0.5</v>
      </c>
      <c r="L174">
        <f>INDEX(products!$A$1:$G$49,MATCH(orders!$D174,products!$A$1:$A$49,0),MATCH($L$1,products!$A$1:$G$1,0))</f>
        <v>7.29</v>
      </c>
      <c r="M174">
        <f t="shared" si="7"/>
        <v>21.87</v>
      </c>
      <c r="N174" t="str">
        <f t="shared" si="8"/>
        <v>Excelsa</v>
      </c>
      <c r="O174" t="str">
        <f t="shared" si="9"/>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_xlfn.XLOOKUP(C175,customers!$A$2:$A$1001,customers!$B$2:$B$1001,0)</f>
        <v>Oran Colbeck</v>
      </c>
      <c r="G175" s="2" t="str">
        <f>_xlfn.XLOOKUP(C175,customers!$A$2:$A$1001,customers!$C$2:$C$1001,0)</f>
        <v>ocolbeck4t@sina.com.cn</v>
      </c>
      <c r="H175" s="2" t="str">
        <f>_xlfn.XLOOKUP(orders!C175,customers!$A$2:$A$1001,customers!$G$2:$G$1001,0)</f>
        <v>United States</v>
      </c>
      <c r="I175" t="str">
        <f>INDEX(products!$A$1:$G$49,MATCH(orders!$D175,products!$A$1:$A$49,0),MATCH($I$1,products!$A$1:$G$1,0))</f>
        <v>Rob</v>
      </c>
      <c r="J175" t="str">
        <f>INDEX(products!$A$1:$G$49,MATCH(orders!$D175,products!$A$1:$A$49,0),MATCH($J$1,products!$A$1:$G$1,0))</f>
        <v>M</v>
      </c>
      <c r="K175" s="1">
        <f>INDEX(products!$A$1:$G$49,MATCH(orders!$D175,products!$A$1:$A$49,0),MATCH($K$1,products!$A$1:$G$1,0))</f>
        <v>2.5</v>
      </c>
      <c r="L175">
        <f>INDEX(products!$A$1:$G$49,MATCH(orders!$D175,products!$A$1:$A$49,0),MATCH($L$1,products!$A$1:$G$1,0))</f>
        <v>22.884999999999998</v>
      </c>
      <c r="M175">
        <f t="shared" si="7"/>
        <v>91.539999999999992</v>
      </c>
      <c r="N175" t="str">
        <f t="shared" si="8"/>
        <v>Robusta</v>
      </c>
      <c r="O175" t="str">
        <f t="shared" si="9"/>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_xlfn.XLOOKUP(C176,customers!$A$2:$A$1001,customers!$B$2:$B$1001,0)</f>
        <v>Elysee Sketch</v>
      </c>
      <c r="G176" s="2">
        <f>_xlfn.XLOOKUP(C176,customers!$A$2:$A$1001,customers!$C$2:$C$1001,0)</f>
        <v>0</v>
      </c>
      <c r="H176" s="2" t="str">
        <f>_xlfn.XLOOKUP(orders!C176,customers!$A$2:$A$1001,customers!$G$2:$G$1001,0)</f>
        <v>United States</v>
      </c>
      <c r="I176" t="str">
        <f>INDEX(products!$A$1:$G$49,MATCH(orders!$D176,products!$A$1:$A$49,0),MATCH($I$1,products!$A$1:$G$1,0))</f>
        <v>Exc</v>
      </c>
      <c r="J176" t="str">
        <f>INDEX(products!$A$1:$G$49,MATCH(orders!$D176,products!$A$1:$A$49,0),MATCH($J$1,products!$A$1:$G$1,0))</f>
        <v>L</v>
      </c>
      <c r="K176" s="1">
        <f>INDEX(products!$A$1:$G$49,MATCH(orders!$D176,products!$A$1:$A$49,0),MATCH($K$1,products!$A$1:$G$1,0))</f>
        <v>2.5</v>
      </c>
      <c r="L176">
        <f>INDEX(products!$A$1:$G$49,MATCH(orders!$D176,products!$A$1:$A$49,0),MATCH($L$1,products!$A$1:$G$1,0))</f>
        <v>34.154999999999994</v>
      </c>
      <c r="M176">
        <f t="shared" si="7"/>
        <v>204.92999999999995</v>
      </c>
      <c r="N176" t="str">
        <f t="shared" si="8"/>
        <v>Excelsa</v>
      </c>
      <c r="O176" t="str">
        <f t="shared" si="9"/>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_xlfn.XLOOKUP(C177,customers!$A$2:$A$1001,customers!$B$2:$B$1001,0)</f>
        <v>Ethelda Hobbing</v>
      </c>
      <c r="G177" s="2" t="str">
        <f>_xlfn.XLOOKUP(C177,customers!$A$2:$A$1001,customers!$C$2:$C$1001,0)</f>
        <v>ehobbing4v@nsw.gov.au</v>
      </c>
      <c r="H177" s="2" t="str">
        <f>_xlfn.XLOOKUP(orders!C177,customers!$A$2:$A$1001,customers!$G$2:$G$1001,0)</f>
        <v>United States</v>
      </c>
      <c r="I177" t="str">
        <f>INDEX(products!$A$1:$G$49,MATCH(orders!$D177,products!$A$1:$A$49,0),MATCH($I$1,products!$A$1:$G$1,0))</f>
        <v>Exc</v>
      </c>
      <c r="J177" t="str">
        <f>INDEX(products!$A$1:$G$49,MATCH(orders!$D177,products!$A$1:$A$49,0),MATCH($J$1,products!$A$1:$G$1,0))</f>
        <v>M</v>
      </c>
      <c r="K177" s="1">
        <f>INDEX(products!$A$1:$G$49,MATCH(orders!$D177,products!$A$1:$A$49,0),MATCH($K$1,products!$A$1:$G$1,0))</f>
        <v>2.5</v>
      </c>
      <c r="L177">
        <f>INDEX(products!$A$1:$G$49,MATCH(orders!$D177,products!$A$1:$A$49,0),MATCH($L$1,products!$A$1:$G$1,0))</f>
        <v>31.624999999999996</v>
      </c>
      <c r="M177">
        <f t="shared" si="7"/>
        <v>63.249999999999993</v>
      </c>
      <c r="N177" t="str">
        <f t="shared" si="8"/>
        <v>Excelsa</v>
      </c>
      <c r="O177" t="str">
        <f t="shared" si="9"/>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_xlfn.XLOOKUP(C178,customers!$A$2:$A$1001,customers!$B$2:$B$1001,0)</f>
        <v>Odille Thynne</v>
      </c>
      <c r="G178" s="2" t="str">
        <f>_xlfn.XLOOKUP(C178,customers!$A$2:$A$1001,customers!$C$2:$C$1001,0)</f>
        <v>othynne4w@auda.org.au</v>
      </c>
      <c r="H178" s="2" t="str">
        <f>_xlfn.XLOOKUP(orders!C178,customers!$A$2:$A$1001,customers!$G$2:$G$1001,0)</f>
        <v>United States</v>
      </c>
      <c r="I178" t="str">
        <f>INDEX(products!$A$1:$G$49,MATCH(orders!$D178,products!$A$1:$A$49,0),MATCH($I$1,products!$A$1:$G$1,0))</f>
        <v>Exc</v>
      </c>
      <c r="J178" t="str">
        <f>INDEX(products!$A$1:$G$49,MATCH(orders!$D178,products!$A$1:$A$49,0),MATCH($J$1,products!$A$1:$G$1,0))</f>
        <v>L</v>
      </c>
      <c r="K178" s="1">
        <f>INDEX(products!$A$1:$G$49,MATCH(orders!$D178,products!$A$1:$A$49,0),MATCH($K$1,products!$A$1:$G$1,0))</f>
        <v>2.5</v>
      </c>
      <c r="L178">
        <f>INDEX(products!$A$1:$G$49,MATCH(orders!$D178,products!$A$1:$A$49,0),MATCH($L$1,products!$A$1:$G$1,0))</f>
        <v>34.154999999999994</v>
      </c>
      <c r="M178">
        <f t="shared" si="7"/>
        <v>34.154999999999994</v>
      </c>
      <c r="N178" t="str">
        <f t="shared" si="8"/>
        <v>Excelsa</v>
      </c>
      <c r="O178" t="str">
        <f t="shared" si="9"/>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_xlfn.XLOOKUP(C179,customers!$A$2:$A$1001,customers!$B$2:$B$1001,0)</f>
        <v>Emlynne Heining</v>
      </c>
      <c r="G179" s="2" t="str">
        <f>_xlfn.XLOOKUP(C179,customers!$A$2:$A$1001,customers!$C$2:$C$1001,0)</f>
        <v>eheining4x@flickr.com</v>
      </c>
      <c r="H179" s="2" t="str">
        <f>_xlfn.XLOOKUP(orders!C179,customers!$A$2:$A$1001,customers!$G$2:$G$1001,0)</f>
        <v>United States</v>
      </c>
      <c r="I179" t="str">
        <f>INDEX(products!$A$1:$G$49,MATCH(orders!$D179,products!$A$1:$A$49,0),MATCH($I$1,products!$A$1:$G$1,0))</f>
        <v>Rob</v>
      </c>
      <c r="J179" t="str">
        <f>INDEX(products!$A$1:$G$49,MATCH(orders!$D179,products!$A$1:$A$49,0),MATCH($J$1,products!$A$1:$G$1,0))</f>
        <v>L</v>
      </c>
      <c r="K179" s="1">
        <f>INDEX(products!$A$1:$G$49,MATCH(orders!$D179,products!$A$1:$A$49,0),MATCH($K$1,products!$A$1:$G$1,0))</f>
        <v>2.5</v>
      </c>
      <c r="L179">
        <f>INDEX(products!$A$1:$G$49,MATCH(orders!$D179,products!$A$1:$A$49,0),MATCH($L$1,products!$A$1:$G$1,0))</f>
        <v>27.484999999999996</v>
      </c>
      <c r="M179">
        <f t="shared" si="7"/>
        <v>109.93999999999998</v>
      </c>
      <c r="N179" t="str">
        <f t="shared" si="8"/>
        <v>Robusta</v>
      </c>
      <c r="O179" t="str">
        <f t="shared" si="9"/>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_xlfn.XLOOKUP(C180,customers!$A$2:$A$1001,customers!$B$2:$B$1001,0)</f>
        <v>Katerina Melloi</v>
      </c>
      <c r="G180" s="2" t="str">
        <f>_xlfn.XLOOKUP(C180,customers!$A$2:$A$1001,customers!$C$2:$C$1001,0)</f>
        <v>kmelloi4y@imdb.com</v>
      </c>
      <c r="H180" s="2" t="str">
        <f>_xlfn.XLOOKUP(orders!C180,customers!$A$2:$A$1001,customers!$G$2:$G$1001,0)</f>
        <v>United States</v>
      </c>
      <c r="I180" t="str">
        <f>INDEX(products!$A$1:$G$49,MATCH(orders!$D180,products!$A$1:$A$49,0),MATCH($I$1,products!$A$1:$G$1,0))</f>
        <v>Ara</v>
      </c>
      <c r="J180" t="str">
        <f>INDEX(products!$A$1:$G$49,MATCH(orders!$D180,products!$A$1:$A$49,0),MATCH($J$1,products!$A$1:$G$1,0))</f>
        <v>L</v>
      </c>
      <c r="K180" s="1">
        <f>INDEX(products!$A$1:$G$49,MATCH(orders!$D180,products!$A$1:$A$49,0),MATCH($K$1,products!$A$1:$G$1,0))</f>
        <v>1</v>
      </c>
      <c r="L180">
        <f>INDEX(products!$A$1:$G$49,MATCH(orders!$D180,products!$A$1:$A$49,0),MATCH($L$1,products!$A$1:$G$1,0))</f>
        <v>12.95</v>
      </c>
      <c r="M180">
        <f t="shared" si="7"/>
        <v>25.9</v>
      </c>
      <c r="N180" t="str">
        <f t="shared" si="8"/>
        <v>Arabica</v>
      </c>
      <c r="O180" t="str">
        <f t="shared" si="9"/>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_xlfn.XLOOKUP(C181,customers!$A$2:$A$1001,customers!$B$2:$B$1001,0)</f>
        <v>Tiffany Scardafield</v>
      </c>
      <c r="G181" s="2">
        <f>_xlfn.XLOOKUP(C181,customers!$A$2:$A$1001,customers!$C$2:$C$1001,0)</f>
        <v>0</v>
      </c>
      <c r="H181" s="2" t="str">
        <f>_xlfn.XLOOKUP(orders!C181,customers!$A$2:$A$1001,customers!$G$2:$G$1001,0)</f>
        <v>Ireland</v>
      </c>
      <c r="I181" t="str">
        <f>INDEX(products!$A$1:$G$49,MATCH(orders!$D181,products!$A$1:$A$49,0),MATCH($I$1,products!$A$1:$G$1,0))</f>
        <v>Ara</v>
      </c>
      <c r="J181" t="str">
        <f>INDEX(products!$A$1:$G$49,MATCH(orders!$D181,products!$A$1:$A$49,0),MATCH($J$1,products!$A$1:$G$1,0))</f>
        <v>D</v>
      </c>
      <c r="K181" s="1">
        <f>INDEX(products!$A$1:$G$49,MATCH(orders!$D181,products!$A$1:$A$49,0),MATCH($K$1,products!$A$1:$G$1,0))</f>
        <v>0.2</v>
      </c>
      <c r="L181">
        <f>INDEX(products!$A$1:$G$49,MATCH(orders!$D181,products!$A$1:$A$49,0),MATCH($L$1,products!$A$1:$G$1,0))</f>
        <v>2.9849999999999999</v>
      </c>
      <c r="M181">
        <f t="shared" si="7"/>
        <v>2.9849999999999999</v>
      </c>
      <c r="N181" t="str">
        <f t="shared" si="8"/>
        <v>Arabica</v>
      </c>
      <c r="O181" t="str">
        <f t="shared" si="9"/>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_xlfn.XLOOKUP(C182,customers!$A$2:$A$1001,customers!$B$2:$B$1001,0)</f>
        <v>Abrahan Mussen</v>
      </c>
      <c r="G182" s="2" t="str">
        <f>_xlfn.XLOOKUP(C182,customers!$A$2:$A$1001,customers!$C$2:$C$1001,0)</f>
        <v>amussen50@51.la</v>
      </c>
      <c r="H182" s="2" t="str">
        <f>_xlfn.XLOOKUP(orders!C182,customers!$A$2:$A$1001,customers!$G$2:$G$1001,0)</f>
        <v>United States</v>
      </c>
      <c r="I182" t="str">
        <f>INDEX(products!$A$1:$G$49,MATCH(orders!$D182,products!$A$1:$A$49,0),MATCH($I$1,products!$A$1:$G$1,0))</f>
        <v>Exc</v>
      </c>
      <c r="J182" t="str">
        <f>INDEX(products!$A$1:$G$49,MATCH(orders!$D182,products!$A$1:$A$49,0),MATCH($J$1,products!$A$1:$G$1,0))</f>
        <v>L</v>
      </c>
      <c r="K182" s="1">
        <f>INDEX(products!$A$1:$G$49,MATCH(orders!$D182,products!$A$1:$A$49,0),MATCH($K$1,products!$A$1:$G$1,0))</f>
        <v>0.2</v>
      </c>
      <c r="L182">
        <f>INDEX(products!$A$1:$G$49,MATCH(orders!$D182,products!$A$1:$A$49,0),MATCH($L$1,products!$A$1:$G$1,0))</f>
        <v>4.4550000000000001</v>
      </c>
      <c r="M182">
        <f t="shared" si="7"/>
        <v>22.274999999999999</v>
      </c>
      <c r="N182" t="str">
        <f t="shared" si="8"/>
        <v>Excelsa</v>
      </c>
      <c r="O182" t="str">
        <f t="shared" si="9"/>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_xlfn.XLOOKUP(C183,customers!$A$2:$A$1001,customers!$B$2:$B$1001,0)</f>
        <v>Abrahan Mussen</v>
      </c>
      <c r="G183" s="2" t="str">
        <f>_xlfn.XLOOKUP(C183,customers!$A$2:$A$1001,customers!$C$2:$C$1001,0)</f>
        <v>amussen50@51.la</v>
      </c>
      <c r="H183" s="2" t="str">
        <f>_xlfn.XLOOKUP(orders!C183,customers!$A$2:$A$1001,customers!$G$2:$G$1001,0)</f>
        <v>United States</v>
      </c>
      <c r="I183" t="str">
        <f>INDEX(products!$A$1:$G$49,MATCH(orders!$D183,products!$A$1:$A$49,0),MATCH($I$1,products!$A$1:$G$1,0))</f>
        <v>Ara</v>
      </c>
      <c r="J183" t="str">
        <f>INDEX(products!$A$1:$G$49,MATCH(orders!$D183,products!$A$1:$A$49,0),MATCH($J$1,products!$A$1:$G$1,0))</f>
        <v>D</v>
      </c>
      <c r="K183" s="1">
        <f>INDEX(products!$A$1:$G$49,MATCH(orders!$D183,products!$A$1:$A$49,0),MATCH($K$1,products!$A$1:$G$1,0))</f>
        <v>0.5</v>
      </c>
      <c r="L183">
        <f>INDEX(products!$A$1:$G$49,MATCH(orders!$D183,products!$A$1:$A$49,0),MATCH($L$1,products!$A$1:$G$1,0))</f>
        <v>5.97</v>
      </c>
      <c r="M183">
        <f t="shared" si="7"/>
        <v>29.849999999999998</v>
      </c>
      <c r="N183" t="str">
        <f t="shared" si="8"/>
        <v>Arabica</v>
      </c>
      <c r="O183" t="str">
        <f t="shared" si="9"/>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_xlfn.XLOOKUP(C184,customers!$A$2:$A$1001,customers!$B$2:$B$1001,0)</f>
        <v>Anny Mundford</v>
      </c>
      <c r="G184" s="2" t="str">
        <f>_xlfn.XLOOKUP(C184,customers!$A$2:$A$1001,customers!$C$2:$C$1001,0)</f>
        <v>amundford52@nbcnews.com</v>
      </c>
      <c r="H184" s="2" t="str">
        <f>_xlfn.XLOOKUP(orders!C184,customers!$A$2:$A$1001,customers!$G$2:$G$1001,0)</f>
        <v>United States</v>
      </c>
      <c r="I184" t="str">
        <f>INDEX(products!$A$1:$G$49,MATCH(orders!$D184,products!$A$1:$A$49,0),MATCH($I$1,products!$A$1:$G$1,0))</f>
        <v>Rob</v>
      </c>
      <c r="J184" t="str">
        <f>INDEX(products!$A$1:$G$49,MATCH(orders!$D184,products!$A$1:$A$49,0),MATCH($J$1,products!$A$1:$G$1,0))</f>
        <v>D</v>
      </c>
      <c r="K184" s="1">
        <f>INDEX(products!$A$1:$G$49,MATCH(orders!$D184,products!$A$1:$A$49,0),MATCH($K$1,products!$A$1:$G$1,0))</f>
        <v>0.5</v>
      </c>
      <c r="L184">
        <f>INDEX(products!$A$1:$G$49,MATCH(orders!$D184,products!$A$1:$A$49,0),MATCH($L$1,products!$A$1:$G$1,0))</f>
        <v>5.3699999999999992</v>
      </c>
      <c r="M184">
        <f t="shared" si="7"/>
        <v>32.22</v>
      </c>
      <c r="N184" t="str">
        <f t="shared" si="8"/>
        <v>Robusta</v>
      </c>
      <c r="O184" t="str">
        <f t="shared" si="9"/>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_xlfn.XLOOKUP(C185,customers!$A$2:$A$1001,customers!$B$2:$B$1001,0)</f>
        <v>Tory Walas</v>
      </c>
      <c r="G185" s="2" t="str">
        <f>_xlfn.XLOOKUP(C185,customers!$A$2:$A$1001,customers!$C$2:$C$1001,0)</f>
        <v>twalas53@google.ca</v>
      </c>
      <c r="H185" s="2" t="str">
        <f>_xlfn.XLOOKUP(orders!C185,customers!$A$2:$A$1001,customers!$G$2:$G$1001,0)</f>
        <v>United States</v>
      </c>
      <c r="I185" t="str">
        <f>INDEX(products!$A$1:$G$49,MATCH(orders!$D185,products!$A$1:$A$49,0),MATCH($I$1,products!$A$1:$G$1,0))</f>
        <v>Exc</v>
      </c>
      <c r="J185" t="str">
        <f>INDEX(products!$A$1:$G$49,MATCH(orders!$D185,products!$A$1:$A$49,0),MATCH($J$1,products!$A$1:$G$1,0))</f>
        <v>M</v>
      </c>
      <c r="K185" s="1">
        <f>INDEX(products!$A$1:$G$49,MATCH(orders!$D185,products!$A$1:$A$49,0),MATCH($K$1,products!$A$1:$G$1,0))</f>
        <v>0.2</v>
      </c>
      <c r="L185">
        <f>INDEX(products!$A$1:$G$49,MATCH(orders!$D185,products!$A$1:$A$49,0),MATCH($L$1,products!$A$1:$G$1,0))</f>
        <v>4.125</v>
      </c>
      <c r="M185">
        <f t="shared" si="7"/>
        <v>8.25</v>
      </c>
      <c r="N185" t="str">
        <f t="shared" si="8"/>
        <v>Excelsa</v>
      </c>
      <c r="O185" t="str">
        <f t="shared" si="9"/>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_xlfn.XLOOKUP(C186,customers!$A$2:$A$1001,customers!$B$2:$B$1001,0)</f>
        <v>Isa Blazewicz</v>
      </c>
      <c r="G186" s="2" t="str">
        <f>_xlfn.XLOOKUP(C186,customers!$A$2:$A$1001,customers!$C$2:$C$1001,0)</f>
        <v>iblazewicz54@thetimes.co.uk</v>
      </c>
      <c r="H186" s="2" t="str">
        <f>_xlfn.XLOOKUP(orders!C186,customers!$A$2:$A$1001,customers!$G$2:$G$1001,0)</f>
        <v>United States</v>
      </c>
      <c r="I186" t="str">
        <f>INDEX(products!$A$1:$G$49,MATCH(orders!$D186,products!$A$1:$A$49,0),MATCH($I$1,products!$A$1:$G$1,0))</f>
        <v>Ara</v>
      </c>
      <c r="J186" t="str">
        <f>INDEX(products!$A$1:$G$49,MATCH(orders!$D186,products!$A$1:$A$49,0),MATCH($J$1,products!$A$1:$G$1,0))</f>
        <v>L</v>
      </c>
      <c r="K186" s="1">
        <f>INDEX(products!$A$1:$G$49,MATCH(orders!$D186,products!$A$1:$A$49,0),MATCH($K$1,products!$A$1:$G$1,0))</f>
        <v>0.5</v>
      </c>
      <c r="L186">
        <f>INDEX(products!$A$1:$G$49,MATCH(orders!$D186,products!$A$1:$A$49,0),MATCH($L$1,products!$A$1:$G$1,0))</f>
        <v>7.77</v>
      </c>
      <c r="M186">
        <f t="shared" si="7"/>
        <v>31.08</v>
      </c>
      <c r="N186" t="str">
        <f t="shared" si="8"/>
        <v>Arabica</v>
      </c>
      <c r="O186" t="str">
        <f t="shared" si="9"/>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_xlfn.XLOOKUP(C187,customers!$A$2:$A$1001,customers!$B$2:$B$1001,0)</f>
        <v>Angie Rizzetti</v>
      </c>
      <c r="G187" s="2" t="str">
        <f>_xlfn.XLOOKUP(C187,customers!$A$2:$A$1001,customers!$C$2:$C$1001,0)</f>
        <v>arizzetti55@naver.com</v>
      </c>
      <c r="H187" s="2" t="str">
        <f>_xlfn.XLOOKUP(orders!C187,customers!$A$2:$A$1001,customers!$G$2:$G$1001,0)</f>
        <v>United States</v>
      </c>
      <c r="I187" t="str">
        <f>INDEX(products!$A$1:$G$49,MATCH(orders!$D187,products!$A$1:$A$49,0),MATCH($I$1,products!$A$1:$G$1,0))</f>
        <v>Exc</v>
      </c>
      <c r="J187" t="str">
        <f>INDEX(products!$A$1:$G$49,MATCH(orders!$D187,products!$A$1:$A$49,0),MATCH($J$1,products!$A$1:$G$1,0))</f>
        <v>D</v>
      </c>
      <c r="K187" s="1">
        <f>INDEX(products!$A$1:$G$49,MATCH(orders!$D187,products!$A$1:$A$49,0),MATCH($K$1,products!$A$1:$G$1,0))</f>
        <v>0.5</v>
      </c>
      <c r="L187">
        <f>INDEX(products!$A$1:$G$49,MATCH(orders!$D187,products!$A$1:$A$49,0),MATCH($L$1,products!$A$1:$G$1,0))</f>
        <v>7.29</v>
      </c>
      <c r="M187">
        <f t="shared" si="7"/>
        <v>36.450000000000003</v>
      </c>
      <c r="N187" t="str">
        <f t="shared" si="8"/>
        <v>Excelsa</v>
      </c>
      <c r="O187" t="str">
        <f t="shared" si="9"/>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_xlfn.XLOOKUP(C188,customers!$A$2:$A$1001,customers!$B$2:$B$1001,0)</f>
        <v>Mord Meriet</v>
      </c>
      <c r="G188" s="2" t="str">
        <f>_xlfn.XLOOKUP(C188,customers!$A$2:$A$1001,customers!$C$2:$C$1001,0)</f>
        <v>mmeriet56@noaa.gov</v>
      </c>
      <c r="H188" s="2" t="str">
        <f>_xlfn.XLOOKUP(orders!C188,customers!$A$2:$A$1001,customers!$G$2:$G$1001,0)</f>
        <v>United States</v>
      </c>
      <c r="I188" t="str">
        <f>INDEX(products!$A$1:$G$49,MATCH(orders!$D188,products!$A$1:$A$49,0),MATCH($I$1,products!$A$1:$G$1,0))</f>
        <v>Rob</v>
      </c>
      <c r="J188" t="str">
        <f>INDEX(products!$A$1:$G$49,MATCH(orders!$D188,products!$A$1:$A$49,0),MATCH($J$1,products!$A$1:$G$1,0))</f>
        <v>M</v>
      </c>
      <c r="K188" s="1">
        <f>INDEX(products!$A$1:$G$49,MATCH(orders!$D188,products!$A$1:$A$49,0),MATCH($K$1,products!$A$1:$G$1,0))</f>
        <v>2.5</v>
      </c>
      <c r="L188">
        <f>INDEX(products!$A$1:$G$49,MATCH(orders!$D188,products!$A$1:$A$49,0),MATCH($L$1,products!$A$1:$G$1,0))</f>
        <v>22.884999999999998</v>
      </c>
      <c r="M188">
        <f t="shared" si="7"/>
        <v>68.655000000000001</v>
      </c>
      <c r="N188" t="str">
        <f t="shared" si="8"/>
        <v>Robusta</v>
      </c>
      <c r="O188" t="str">
        <f t="shared" si="9"/>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_xlfn.XLOOKUP(C189,customers!$A$2:$A$1001,customers!$B$2:$B$1001,0)</f>
        <v>Lawrence Pratt</v>
      </c>
      <c r="G189" s="2" t="str">
        <f>_xlfn.XLOOKUP(C189,customers!$A$2:$A$1001,customers!$C$2:$C$1001,0)</f>
        <v>lpratt57@netvibes.com</v>
      </c>
      <c r="H189" s="2" t="str">
        <f>_xlfn.XLOOKUP(orders!C189,customers!$A$2:$A$1001,customers!$G$2:$G$1001,0)</f>
        <v>United States</v>
      </c>
      <c r="I189" t="str">
        <f>INDEX(products!$A$1:$G$49,MATCH(orders!$D189,products!$A$1:$A$49,0),MATCH($I$1,products!$A$1:$G$1,0))</f>
        <v>Lib</v>
      </c>
      <c r="J189" t="str">
        <f>INDEX(products!$A$1:$G$49,MATCH(orders!$D189,products!$A$1:$A$49,0),MATCH($J$1,products!$A$1:$G$1,0))</f>
        <v>M</v>
      </c>
      <c r="K189" s="1">
        <f>INDEX(products!$A$1:$G$49,MATCH(orders!$D189,products!$A$1:$A$49,0),MATCH($K$1,products!$A$1:$G$1,0))</f>
        <v>0.5</v>
      </c>
      <c r="L189">
        <f>INDEX(products!$A$1:$G$49,MATCH(orders!$D189,products!$A$1:$A$49,0),MATCH($L$1,products!$A$1:$G$1,0))</f>
        <v>8.73</v>
      </c>
      <c r="M189">
        <f t="shared" si="7"/>
        <v>43.650000000000006</v>
      </c>
      <c r="N189" t="str">
        <f t="shared" si="8"/>
        <v>Liberica</v>
      </c>
      <c r="O189" t="str">
        <f t="shared" si="9"/>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_xlfn.XLOOKUP(C190,customers!$A$2:$A$1001,customers!$B$2:$B$1001,0)</f>
        <v>Astrix Kitchingham</v>
      </c>
      <c r="G190" s="2" t="str">
        <f>_xlfn.XLOOKUP(C190,customers!$A$2:$A$1001,customers!$C$2:$C$1001,0)</f>
        <v>akitchingham58@com.com</v>
      </c>
      <c r="H190" s="2" t="str">
        <f>_xlfn.XLOOKUP(orders!C190,customers!$A$2:$A$1001,customers!$G$2:$G$1001,0)</f>
        <v>United States</v>
      </c>
      <c r="I190" t="str">
        <f>INDEX(products!$A$1:$G$49,MATCH(orders!$D190,products!$A$1:$A$49,0),MATCH($I$1,products!$A$1:$G$1,0))</f>
        <v>Exc</v>
      </c>
      <c r="J190" t="str">
        <f>INDEX(products!$A$1:$G$49,MATCH(orders!$D190,products!$A$1:$A$49,0),MATCH($J$1,products!$A$1:$G$1,0))</f>
        <v>L</v>
      </c>
      <c r="K190" s="1">
        <f>INDEX(products!$A$1:$G$49,MATCH(orders!$D190,products!$A$1:$A$49,0),MATCH($K$1,products!$A$1:$G$1,0))</f>
        <v>0.2</v>
      </c>
      <c r="L190">
        <f>INDEX(products!$A$1:$G$49,MATCH(orders!$D190,products!$A$1:$A$49,0),MATCH($L$1,products!$A$1:$G$1,0))</f>
        <v>4.4550000000000001</v>
      </c>
      <c r="M190">
        <f t="shared" si="7"/>
        <v>4.4550000000000001</v>
      </c>
      <c r="N190" t="str">
        <f t="shared" si="8"/>
        <v>Excelsa</v>
      </c>
      <c r="O190" t="str">
        <f t="shared" si="9"/>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_xlfn.XLOOKUP(C191,customers!$A$2:$A$1001,customers!$B$2:$B$1001,0)</f>
        <v>Burnard Bartholin</v>
      </c>
      <c r="G191" s="2" t="str">
        <f>_xlfn.XLOOKUP(C191,customers!$A$2:$A$1001,customers!$C$2:$C$1001,0)</f>
        <v>bbartholin59@xinhuanet.com</v>
      </c>
      <c r="H191" s="2" t="str">
        <f>_xlfn.XLOOKUP(orders!C191,customers!$A$2:$A$1001,customers!$G$2:$G$1001,0)</f>
        <v>United States</v>
      </c>
      <c r="I191" t="str">
        <f>INDEX(products!$A$1:$G$49,MATCH(orders!$D191,products!$A$1:$A$49,0),MATCH($I$1,products!$A$1:$G$1,0))</f>
        <v>Lib</v>
      </c>
      <c r="J191" t="str">
        <f>INDEX(products!$A$1:$G$49,MATCH(orders!$D191,products!$A$1:$A$49,0),MATCH($J$1,products!$A$1:$G$1,0))</f>
        <v>M</v>
      </c>
      <c r="K191" s="1">
        <f>INDEX(products!$A$1:$G$49,MATCH(orders!$D191,products!$A$1:$A$49,0),MATCH($K$1,products!$A$1:$G$1,0))</f>
        <v>1</v>
      </c>
      <c r="L191">
        <f>INDEX(products!$A$1:$G$49,MATCH(orders!$D191,products!$A$1:$A$49,0),MATCH($L$1,products!$A$1:$G$1,0))</f>
        <v>14.55</v>
      </c>
      <c r="M191">
        <f t="shared" si="7"/>
        <v>43.650000000000006</v>
      </c>
      <c r="N191" t="str">
        <f t="shared" si="8"/>
        <v>Liberica</v>
      </c>
      <c r="O191" t="str">
        <f t="shared" si="9"/>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_xlfn.XLOOKUP(C192,customers!$A$2:$A$1001,customers!$B$2:$B$1001,0)</f>
        <v>Madelene Prinn</v>
      </c>
      <c r="G192" s="2" t="str">
        <f>_xlfn.XLOOKUP(C192,customers!$A$2:$A$1001,customers!$C$2:$C$1001,0)</f>
        <v>mprinn5a@usa.gov</v>
      </c>
      <c r="H192" s="2" t="str">
        <f>_xlfn.XLOOKUP(orders!C192,customers!$A$2:$A$1001,customers!$G$2:$G$1001,0)</f>
        <v>United States</v>
      </c>
      <c r="I192" t="str">
        <f>INDEX(products!$A$1:$G$49,MATCH(orders!$D192,products!$A$1:$A$49,0),MATCH($I$1,products!$A$1:$G$1,0))</f>
        <v>Lib</v>
      </c>
      <c r="J192" t="str">
        <f>INDEX(products!$A$1:$G$49,MATCH(orders!$D192,products!$A$1:$A$49,0),MATCH($J$1,products!$A$1:$G$1,0))</f>
        <v>M</v>
      </c>
      <c r="K192" s="1">
        <f>INDEX(products!$A$1:$G$49,MATCH(orders!$D192,products!$A$1:$A$49,0),MATCH($K$1,products!$A$1:$G$1,0))</f>
        <v>2.5</v>
      </c>
      <c r="L192">
        <f>INDEX(products!$A$1:$G$49,MATCH(orders!$D192,products!$A$1:$A$49,0),MATCH($L$1,products!$A$1:$G$1,0))</f>
        <v>33.464999999999996</v>
      </c>
      <c r="M192">
        <f t="shared" si="7"/>
        <v>33.464999999999996</v>
      </c>
      <c r="N192" t="str">
        <f t="shared" si="8"/>
        <v>Liberica</v>
      </c>
      <c r="O192" t="str">
        <f t="shared" si="9"/>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_xlfn.XLOOKUP(C193,customers!$A$2:$A$1001,customers!$B$2:$B$1001,0)</f>
        <v>Alisun Baudino</v>
      </c>
      <c r="G193" s="2" t="str">
        <f>_xlfn.XLOOKUP(C193,customers!$A$2:$A$1001,customers!$C$2:$C$1001,0)</f>
        <v>abaudino5b@netvibes.com</v>
      </c>
      <c r="H193" s="2" t="str">
        <f>_xlfn.XLOOKUP(orders!C193,customers!$A$2:$A$1001,customers!$G$2:$G$1001,0)</f>
        <v>United States</v>
      </c>
      <c r="I193" t="str">
        <f>INDEX(products!$A$1:$G$49,MATCH(orders!$D193,products!$A$1:$A$49,0),MATCH($I$1,products!$A$1:$G$1,0))</f>
        <v>Lib</v>
      </c>
      <c r="J193" t="str">
        <f>INDEX(products!$A$1:$G$49,MATCH(orders!$D193,products!$A$1:$A$49,0),MATCH($J$1,products!$A$1:$G$1,0))</f>
        <v>D</v>
      </c>
      <c r="K193" s="1">
        <f>INDEX(products!$A$1:$G$49,MATCH(orders!$D193,products!$A$1:$A$49,0),MATCH($K$1,products!$A$1:$G$1,0))</f>
        <v>0.2</v>
      </c>
      <c r="L193">
        <f>INDEX(products!$A$1:$G$49,MATCH(orders!$D193,products!$A$1:$A$49,0),MATCH($L$1,products!$A$1:$G$1,0))</f>
        <v>3.8849999999999998</v>
      </c>
      <c r="M193">
        <f t="shared" si="7"/>
        <v>19.424999999999997</v>
      </c>
      <c r="N193" t="str">
        <f t="shared" si="8"/>
        <v>Liberica</v>
      </c>
      <c r="O193" t="str">
        <f t="shared" si="9"/>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_xlfn.XLOOKUP(C194,customers!$A$2:$A$1001,customers!$B$2:$B$1001,0)</f>
        <v>Philipa Petrushanko</v>
      </c>
      <c r="G194" s="2" t="str">
        <f>_xlfn.XLOOKUP(C194,customers!$A$2:$A$1001,customers!$C$2:$C$1001,0)</f>
        <v>ppetrushanko5c@blinklist.com</v>
      </c>
      <c r="H194" s="2" t="str">
        <f>_xlfn.XLOOKUP(orders!C194,customers!$A$2:$A$1001,customers!$G$2:$G$1001,0)</f>
        <v>Ireland</v>
      </c>
      <c r="I194" t="str">
        <f>INDEX(products!$A$1:$G$49,MATCH(orders!$D194,products!$A$1:$A$49,0),MATCH($I$1,products!$A$1:$G$1,0))</f>
        <v>Exc</v>
      </c>
      <c r="J194" t="str">
        <f>INDEX(products!$A$1:$G$49,MATCH(orders!$D194,products!$A$1:$A$49,0),MATCH($J$1,products!$A$1:$G$1,0))</f>
        <v>D</v>
      </c>
      <c r="K194" s="1">
        <f>INDEX(products!$A$1:$G$49,MATCH(orders!$D194,products!$A$1:$A$49,0),MATCH($K$1,products!$A$1:$G$1,0))</f>
        <v>1</v>
      </c>
      <c r="L194">
        <f>INDEX(products!$A$1:$G$49,MATCH(orders!$D194,products!$A$1:$A$49,0),MATCH($L$1,products!$A$1:$G$1,0))</f>
        <v>12.15</v>
      </c>
      <c r="M194">
        <f t="shared" si="7"/>
        <v>72.900000000000006</v>
      </c>
      <c r="N194" t="str">
        <f t="shared" si="8"/>
        <v>Excelsa</v>
      </c>
      <c r="O194" t="str">
        <f t="shared" si="9"/>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_xlfn.XLOOKUP(C195,customers!$A$2:$A$1001,customers!$B$2:$B$1001,0)</f>
        <v>Kimberli Mustchin</v>
      </c>
      <c r="G195" s="2">
        <f>_xlfn.XLOOKUP(C195,customers!$A$2:$A$1001,customers!$C$2:$C$1001,0)</f>
        <v>0</v>
      </c>
      <c r="H195" s="2" t="str">
        <f>_xlfn.XLOOKUP(orders!C195,customers!$A$2:$A$1001,customers!$G$2:$G$1001,0)</f>
        <v>United States</v>
      </c>
      <c r="I195" t="str">
        <f>INDEX(products!$A$1:$G$49,MATCH(orders!$D195,products!$A$1:$A$49,0),MATCH($I$1,products!$A$1:$G$1,0))</f>
        <v>Exc</v>
      </c>
      <c r="J195" t="str">
        <f>INDEX(products!$A$1:$G$49,MATCH(orders!$D195,products!$A$1:$A$49,0),MATCH($J$1,products!$A$1:$G$1,0))</f>
        <v>L</v>
      </c>
      <c r="K195" s="1">
        <f>INDEX(products!$A$1:$G$49,MATCH(orders!$D195,products!$A$1:$A$49,0),MATCH($K$1,products!$A$1:$G$1,0))</f>
        <v>1</v>
      </c>
      <c r="L195">
        <f>INDEX(products!$A$1:$G$49,MATCH(orders!$D195,products!$A$1:$A$49,0),MATCH($L$1,products!$A$1:$G$1,0))</f>
        <v>14.85</v>
      </c>
      <c r="M195">
        <f t="shared" ref="M195:M258" si="10">L195*E195</f>
        <v>44.55</v>
      </c>
      <c r="N195" t="str">
        <f t="shared" ref="N195:N258" si="11">IF(I195="Rob","Robusta",IF(I195="Exc","Excelsa",IF(I195="Ara","Arabica",IF(I195="Lib","Liberica",""))))</f>
        <v>Excelsa</v>
      </c>
      <c r="O195" t="str">
        <f t="shared" ref="O195:O258" si="12">IF(J195="M", "Medium", IF(J195="L","Light", IF(J195="D", "Dark","")))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_xlfn.XLOOKUP(C196,customers!$A$2:$A$1001,customers!$B$2:$B$1001,0)</f>
        <v>Emlynne Laird</v>
      </c>
      <c r="G196" s="2" t="str">
        <f>_xlfn.XLOOKUP(C196,customers!$A$2:$A$1001,customers!$C$2:$C$1001,0)</f>
        <v>elaird5e@bing.com</v>
      </c>
      <c r="H196" s="2" t="str">
        <f>_xlfn.XLOOKUP(orders!C196,customers!$A$2:$A$1001,customers!$G$2:$G$1001,0)</f>
        <v>United States</v>
      </c>
      <c r="I196" t="str">
        <f>INDEX(products!$A$1:$G$49,MATCH(orders!$D196,products!$A$1:$A$49,0),MATCH($I$1,products!$A$1:$G$1,0))</f>
        <v>Exc</v>
      </c>
      <c r="J196" t="str">
        <f>INDEX(products!$A$1:$G$49,MATCH(orders!$D196,products!$A$1:$A$49,0),MATCH($J$1,products!$A$1:$G$1,0))</f>
        <v>D</v>
      </c>
      <c r="K196" s="1">
        <f>INDEX(products!$A$1:$G$49,MATCH(orders!$D196,products!$A$1:$A$49,0),MATCH($K$1,products!$A$1:$G$1,0))</f>
        <v>0.5</v>
      </c>
      <c r="L196">
        <f>INDEX(products!$A$1:$G$49,MATCH(orders!$D196,products!$A$1:$A$49,0),MATCH($L$1,products!$A$1:$G$1,0))</f>
        <v>7.29</v>
      </c>
      <c r="M196">
        <f t="shared" si="10"/>
        <v>36.450000000000003</v>
      </c>
      <c r="N196" t="str">
        <f t="shared" si="11"/>
        <v>Excelsa</v>
      </c>
      <c r="O196" t="str">
        <f t="shared" si="12"/>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_xlfn.XLOOKUP(C197,customers!$A$2:$A$1001,customers!$B$2:$B$1001,0)</f>
        <v>Marlena Howsden</v>
      </c>
      <c r="G197" s="2" t="str">
        <f>_xlfn.XLOOKUP(C197,customers!$A$2:$A$1001,customers!$C$2:$C$1001,0)</f>
        <v>mhowsden5f@infoseek.co.jp</v>
      </c>
      <c r="H197" s="2" t="str">
        <f>_xlfn.XLOOKUP(orders!C197,customers!$A$2:$A$1001,customers!$G$2:$G$1001,0)</f>
        <v>United States</v>
      </c>
      <c r="I197" t="str">
        <f>INDEX(products!$A$1:$G$49,MATCH(orders!$D197,products!$A$1:$A$49,0),MATCH($I$1,products!$A$1:$G$1,0))</f>
        <v>Ara</v>
      </c>
      <c r="J197" t="str">
        <f>INDEX(products!$A$1:$G$49,MATCH(orders!$D197,products!$A$1:$A$49,0),MATCH($J$1,products!$A$1:$G$1,0))</f>
        <v>L</v>
      </c>
      <c r="K197" s="1">
        <f>INDEX(products!$A$1:$G$49,MATCH(orders!$D197,products!$A$1:$A$49,0),MATCH($K$1,products!$A$1:$G$1,0))</f>
        <v>1</v>
      </c>
      <c r="L197">
        <f>INDEX(products!$A$1:$G$49,MATCH(orders!$D197,products!$A$1:$A$49,0),MATCH($L$1,products!$A$1:$G$1,0))</f>
        <v>12.95</v>
      </c>
      <c r="M197">
        <f t="shared" si="10"/>
        <v>38.849999999999994</v>
      </c>
      <c r="N197" t="str">
        <f t="shared" si="11"/>
        <v>Arabica</v>
      </c>
      <c r="O197" t="str">
        <f t="shared" si="12"/>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_xlfn.XLOOKUP(C198,customers!$A$2:$A$1001,customers!$B$2:$B$1001,0)</f>
        <v>Nealson Cuttler</v>
      </c>
      <c r="G198" s="2" t="str">
        <f>_xlfn.XLOOKUP(C198,customers!$A$2:$A$1001,customers!$C$2:$C$1001,0)</f>
        <v>ncuttler5g@parallels.com</v>
      </c>
      <c r="H198" s="2" t="str">
        <f>_xlfn.XLOOKUP(orders!C198,customers!$A$2:$A$1001,customers!$G$2:$G$1001,0)</f>
        <v>United States</v>
      </c>
      <c r="I198" t="str">
        <f>INDEX(products!$A$1:$G$49,MATCH(orders!$D198,products!$A$1:$A$49,0),MATCH($I$1,products!$A$1:$G$1,0))</f>
        <v>Exc</v>
      </c>
      <c r="J198" t="str">
        <f>INDEX(products!$A$1:$G$49,MATCH(orders!$D198,products!$A$1:$A$49,0),MATCH($J$1,products!$A$1:$G$1,0))</f>
        <v>L</v>
      </c>
      <c r="K198" s="1">
        <f>INDEX(products!$A$1:$G$49,MATCH(orders!$D198,products!$A$1:$A$49,0),MATCH($K$1,products!$A$1:$G$1,0))</f>
        <v>0.5</v>
      </c>
      <c r="L198">
        <f>INDEX(products!$A$1:$G$49,MATCH(orders!$D198,products!$A$1:$A$49,0),MATCH($L$1,products!$A$1:$G$1,0))</f>
        <v>8.91</v>
      </c>
      <c r="M198">
        <f t="shared" si="10"/>
        <v>53.46</v>
      </c>
      <c r="N198" t="str">
        <f t="shared" si="11"/>
        <v>Excelsa</v>
      </c>
      <c r="O198" t="str">
        <f t="shared" si="12"/>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_xlfn.XLOOKUP(C199,customers!$A$2:$A$1001,customers!$B$2:$B$1001,0)</f>
        <v>Nealson Cuttler</v>
      </c>
      <c r="G199" s="2" t="str">
        <f>_xlfn.XLOOKUP(C199,customers!$A$2:$A$1001,customers!$C$2:$C$1001,0)</f>
        <v>ncuttler5g@parallels.com</v>
      </c>
      <c r="H199" s="2" t="str">
        <f>_xlfn.XLOOKUP(orders!C199,customers!$A$2:$A$1001,customers!$G$2:$G$1001,0)</f>
        <v>United States</v>
      </c>
      <c r="I199" t="str">
        <f>INDEX(products!$A$1:$G$49,MATCH(orders!$D199,products!$A$1:$A$49,0),MATCH($I$1,products!$A$1:$G$1,0))</f>
        <v>Lib</v>
      </c>
      <c r="J199" t="str">
        <f>INDEX(products!$A$1:$G$49,MATCH(orders!$D199,products!$A$1:$A$49,0),MATCH($J$1,products!$A$1:$G$1,0))</f>
        <v>D</v>
      </c>
      <c r="K199" s="1">
        <f>INDEX(products!$A$1:$G$49,MATCH(orders!$D199,products!$A$1:$A$49,0),MATCH($K$1,products!$A$1:$G$1,0))</f>
        <v>2.5</v>
      </c>
      <c r="L199">
        <f>INDEX(products!$A$1:$G$49,MATCH(orders!$D199,products!$A$1:$A$49,0),MATCH($L$1,products!$A$1:$G$1,0))</f>
        <v>29.784999999999997</v>
      </c>
      <c r="M199">
        <f t="shared" si="10"/>
        <v>59.569999999999993</v>
      </c>
      <c r="N199" t="str">
        <f t="shared" si="11"/>
        <v>Liberica</v>
      </c>
      <c r="O199" t="str">
        <f t="shared" si="12"/>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_xlfn.XLOOKUP(C200,customers!$A$2:$A$1001,customers!$B$2:$B$1001,0)</f>
        <v>Nealson Cuttler</v>
      </c>
      <c r="G200" s="2" t="str">
        <f>_xlfn.XLOOKUP(C200,customers!$A$2:$A$1001,customers!$C$2:$C$1001,0)</f>
        <v>ncuttler5g@parallels.com</v>
      </c>
      <c r="H200" s="2" t="str">
        <f>_xlfn.XLOOKUP(orders!C200,customers!$A$2:$A$1001,customers!$G$2:$G$1001,0)</f>
        <v>United States</v>
      </c>
      <c r="I200" t="str">
        <f>INDEX(products!$A$1:$G$49,MATCH(orders!$D200,products!$A$1:$A$49,0),MATCH($I$1,products!$A$1:$G$1,0))</f>
        <v>Lib</v>
      </c>
      <c r="J200" t="str">
        <f>INDEX(products!$A$1:$G$49,MATCH(orders!$D200,products!$A$1:$A$49,0),MATCH($J$1,products!$A$1:$G$1,0))</f>
        <v>D</v>
      </c>
      <c r="K200" s="1">
        <f>INDEX(products!$A$1:$G$49,MATCH(orders!$D200,products!$A$1:$A$49,0),MATCH($K$1,products!$A$1:$G$1,0))</f>
        <v>2.5</v>
      </c>
      <c r="L200">
        <f>INDEX(products!$A$1:$G$49,MATCH(orders!$D200,products!$A$1:$A$49,0),MATCH($L$1,products!$A$1:$G$1,0))</f>
        <v>29.784999999999997</v>
      </c>
      <c r="M200">
        <f t="shared" si="10"/>
        <v>89.35499999999999</v>
      </c>
      <c r="N200" t="str">
        <f t="shared" si="11"/>
        <v>Liberica</v>
      </c>
      <c r="O200" t="str">
        <f t="shared" si="12"/>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_xlfn.XLOOKUP(C201,customers!$A$2:$A$1001,customers!$B$2:$B$1001,0)</f>
        <v>Nealson Cuttler</v>
      </c>
      <c r="G201" s="2" t="str">
        <f>_xlfn.XLOOKUP(C201,customers!$A$2:$A$1001,customers!$C$2:$C$1001,0)</f>
        <v>ncuttler5g@parallels.com</v>
      </c>
      <c r="H201" s="2" t="str">
        <f>_xlfn.XLOOKUP(orders!C201,customers!$A$2:$A$1001,customers!$G$2:$G$1001,0)</f>
        <v>United States</v>
      </c>
      <c r="I201" t="str">
        <f>INDEX(products!$A$1:$G$49,MATCH(orders!$D201,products!$A$1:$A$49,0),MATCH($I$1,products!$A$1:$G$1,0))</f>
        <v>Lib</v>
      </c>
      <c r="J201" t="str">
        <f>INDEX(products!$A$1:$G$49,MATCH(orders!$D201,products!$A$1:$A$49,0),MATCH($J$1,products!$A$1:$G$1,0))</f>
        <v>L</v>
      </c>
      <c r="K201" s="1">
        <f>INDEX(products!$A$1:$G$49,MATCH(orders!$D201,products!$A$1:$A$49,0),MATCH($K$1,products!$A$1:$G$1,0))</f>
        <v>0.5</v>
      </c>
      <c r="L201">
        <f>INDEX(products!$A$1:$G$49,MATCH(orders!$D201,products!$A$1:$A$49,0),MATCH($L$1,products!$A$1:$G$1,0))</f>
        <v>9.51</v>
      </c>
      <c r="M201">
        <f t="shared" si="10"/>
        <v>38.04</v>
      </c>
      <c r="N201" t="str">
        <f t="shared" si="11"/>
        <v>Liberica</v>
      </c>
      <c r="O201" t="str">
        <f t="shared" si="12"/>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_xlfn.XLOOKUP(C202,customers!$A$2:$A$1001,customers!$B$2:$B$1001,0)</f>
        <v>Nealson Cuttler</v>
      </c>
      <c r="G202" s="2" t="str">
        <f>_xlfn.XLOOKUP(C202,customers!$A$2:$A$1001,customers!$C$2:$C$1001,0)</f>
        <v>ncuttler5g@parallels.com</v>
      </c>
      <c r="H202" s="2" t="str">
        <f>_xlfn.XLOOKUP(orders!C202,customers!$A$2:$A$1001,customers!$G$2:$G$1001,0)</f>
        <v>United States</v>
      </c>
      <c r="I202" t="str">
        <f>INDEX(products!$A$1:$G$49,MATCH(orders!$D202,products!$A$1:$A$49,0),MATCH($I$1,products!$A$1:$G$1,0))</f>
        <v>Exc</v>
      </c>
      <c r="J202" t="str">
        <f>INDEX(products!$A$1:$G$49,MATCH(orders!$D202,products!$A$1:$A$49,0),MATCH($J$1,products!$A$1:$G$1,0))</f>
        <v>M</v>
      </c>
      <c r="K202" s="1">
        <f>INDEX(products!$A$1:$G$49,MATCH(orders!$D202,products!$A$1:$A$49,0),MATCH($K$1,products!$A$1:$G$1,0))</f>
        <v>1</v>
      </c>
      <c r="L202">
        <f>INDEX(products!$A$1:$G$49,MATCH(orders!$D202,products!$A$1:$A$49,0),MATCH($L$1,products!$A$1:$G$1,0))</f>
        <v>13.75</v>
      </c>
      <c r="M202">
        <f t="shared" si="10"/>
        <v>41.25</v>
      </c>
      <c r="N202" t="str">
        <f t="shared" si="11"/>
        <v>Excelsa</v>
      </c>
      <c r="O202" t="str">
        <f t="shared" si="12"/>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_xlfn.XLOOKUP(C203,customers!$A$2:$A$1001,customers!$B$2:$B$1001,0)</f>
        <v>Adriana Lazarus</v>
      </c>
      <c r="G203" s="2">
        <f>_xlfn.XLOOKUP(C203,customers!$A$2:$A$1001,customers!$C$2:$C$1001,0)</f>
        <v>0</v>
      </c>
      <c r="H203" s="2" t="str">
        <f>_xlfn.XLOOKUP(orders!C203,customers!$A$2:$A$1001,customers!$G$2:$G$1001,0)</f>
        <v>United States</v>
      </c>
      <c r="I203" t="str">
        <f>INDEX(products!$A$1:$G$49,MATCH(orders!$D203,products!$A$1:$A$49,0),MATCH($I$1,products!$A$1:$G$1,0))</f>
        <v>Lib</v>
      </c>
      <c r="J203" t="str">
        <f>INDEX(products!$A$1:$G$49,MATCH(orders!$D203,products!$A$1:$A$49,0),MATCH($J$1,products!$A$1:$G$1,0))</f>
        <v>L</v>
      </c>
      <c r="K203" s="1">
        <f>INDEX(products!$A$1:$G$49,MATCH(orders!$D203,products!$A$1:$A$49,0),MATCH($K$1,products!$A$1:$G$1,0))</f>
        <v>0.5</v>
      </c>
      <c r="L203">
        <f>INDEX(products!$A$1:$G$49,MATCH(orders!$D203,products!$A$1:$A$49,0),MATCH($L$1,products!$A$1:$G$1,0))</f>
        <v>9.51</v>
      </c>
      <c r="M203">
        <f t="shared" si="10"/>
        <v>57.06</v>
      </c>
      <c r="N203" t="str">
        <f t="shared" si="11"/>
        <v>Liberica</v>
      </c>
      <c r="O203" t="str">
        <f t="shared" si="12"/>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_xlfn.XLOOKUP(C204,customers!$A$2:$A$1001,customers!$B$2:$B$1001,0)</f>
        <v>Tallie felip</v>
      </c>
      <c r="G204" s="2" t="str">
        <f>_xlfn.XLOOKUP(C204,customers!$A$2:$A$1001,customers!$C$2:$C$1001,0)</f>
        <v>tfelip5m@typepad.com</v>
      </c>
      <c r="H204" s="2" t="str">
        <f>_xlfn.XLOOKUP(orders!C204,customers!$A$2:$A$1001,customers!$G$2:$G$1001,0)</f>
        <v>United States</v>
      </c>
      <c r="I204" t="str">
        <f>INDEX(products!$A$1:$G$49,MATCH(orders!$D204,products!$A$1:$A$49,0),MATCH($I$1,products!$A$1:$G$1,0))</f>
        <v>Lib</v>
      </c>
      <c r="J204" t="str">
        <f>INDEX(products!$A$1:$G$49,MATCH(orders!$D204,products!$A$1:$A$49,0),MATCH($J$1,products!$A$1:$G$1,0))</f>
        <v>D</v>
      </c>
      <c r="K204" s="1">
        <f>INDEX(products!$A$1:$G$49,MATCH(orders!$D204,products!$A$1:$A$49,0),MATCH($K$1,products!$A$1:$G$1,0))</f>
        <v>2.5</v>
      </c>
      <c r="L204">
        <f>INDEX(products!$A$1:$G$49,MATCH(orders!$D204,products!$A$1:$A$49,0),MATCH($L$1,products!$A$1:$G$1,0))</f>
        <v>29.784999999999997</v>
      </c>
      <c r="M204">
        <f t="shared" si="10"/>
        <v>178.70999999999998</v>
      </c>
      <c r="N204" t="str">
        <f t="shared" si="11"/>
        <v>Liberica</v>
      </c>
      <c r="O204" t="str">
        <f t="shared" si="12"/>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_xlfn.XLOOKUP(C205,customers!$A$2:$A$1001,customers!$B$2:$B$1001,0)</f>
        <v>Vanna Le - Count</v>
      </c>
      <c r="G205" s="2" t="str">
        <f>_xlfn.XLOOKUP(C205,customers!$A$2:$A$1001,customers!$C$2:$C$1001,0)</f>
        <v>vle5n@disqus.com</v>
      </c>
      <c r="H205" s="2" t="str">
        <f>_xlfn.XLOOKUP(orders!C205,customers!$A$2:$A$1001,customers!$G$2:$G$1001,0)</f>
        <v>United States</v>
      </c>
      <c r="I205" t="str">
        <f>INDEX(products!$A$1:$G$49,MATCH(orders!$D205,products!$A$1:$A$49,0),MATCH($I$1,products!$A$1:$G$1,0))</f>
        <v>Lib</v>
      </c>
      <c r="J205" t="str">
        <f>INDEX(products!$A$1:$G$49,MATCH(orders!$D205,products!$A$1:$A$49,0),MATCH($J$1,products!$A$1:$G$1,0))</f>
        <v>L</v>
      </c>
      <c r="K205" s="1">
        <f>INDEX(products!$A$1:$G$49,MATCH(orders!$D205,products!$A$1:$A$49,0),MATCH($K$1,products!$A$1:$G$1,0))</f>
        <v>0.2</v>
      </c>
      <c r="L205">
        <f>INDEX(products!$A$1:$G$49,MATCH(orders!$D205,products!$A$1:$A$49,0),MATCH($L$1,products!$A$1:$G$1,0))</f>
        <v>4.7549999999999999</v>
      </c>
      <c r="M205">
        <f t="shared" si="10"/>
        <v>4.7549999999999999</v>
      </c>
      <c r="N205" t="str">
        <f t="shared" si="11"/>
        <v>Liberica</v>
      </c>
      <c r="O205" t="str">
        <f t="shared" si="12"/>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_xlfn.XLOOKUP(C206,customers!$A$2:$A$1001,customers!$B$2:$B$1001,0)</f>
        <v>Sarette Ducarel</v>
      </c>
      <c r="G206" s="2">
        <f>_xlfn.XLOOKUP(C206,customers!$A$2:$A$1001,customers!$C$2:$C$1001,0)</f>
        <v>0</v>
      </c>
      <c r="H206" s="2" t="str">
        <f>_xlfn.XLOOKUP(orders!C206,customers!$A$2:$A$1001,customers!$G$2:$G$1001,0)</f>
        <v>United States</v>
      </c>
      <c r="I206" t="str">
        <f>INDEX(products!$A$1:$G$49,MATCH(orders!$D206,products!$A$1:$A$49,0),MATCH($I$1,products!$A$1:$G$1,0))</f>
        <v>Exc</v>
      </c>
      <c r="J206" t="str">
        <f>INDEX(products!$A$1:$G$49,MATCH(orders!$D206,products!$A$1:$A$49,0),MATCH($J$1,products!$A$1:$G$1,0))</f>
        <v>M</v>
      </c>
      <c r="K206" s="1">
        <f>INDEX(products!$A$1:$G$49,MATCH(orders!$D206,products!$A$1:$A$49,0),MATCH($K$1,products!$A$1:$G$1,0))</f>
        <v>1</v>
      </c>
      <c r="L206">
        <f>INDEX(products!$A$1:$G$49,MATCH(orders!$D206,products!$A$1:$A$49,0),MATCH($L$1,products!$A$1:$G$1,0))</f>
        <v>13.75</v>
      </c>
      <c r="M206">
        <f t="shared" si="10"/>
        <v>82.5</v>
      </c>
      <c r="N206" t="str">
        <f t="shared" si="11"/>
        <v>Excelsa</v>
      </c>
      <c r="O206" t="str">
        <f t="shared" si="12"/>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_xlfn.XLOOKUP(C207,customers!$A$2:$A$1001,customers!$B$2:$B$1001,0)</f>
        <v>Kendra Glison</v>
      </c>
      <c r="G207" s="2">
        <f>_xlfn.XLOOKUP(C207,customers!$A$2:$A$1001,customers!$C$2:$C$1001,0)</f>
        <v>0</v>
      </c>
      <c r="H207" s="2" t="str">
        <f>_xlfn.XLOOKUP(orders!C207,customers!$A$2:$A$1001,customers!$G$2:$G$1001,0)</f>
        <v>United States</v>
      </c>
      <c r="I207" t="str">
        <f>INDEX(products!$A$1:$G$49,MATCH(orders!$D207,products!$A$1:$A$49,0),MATCH($I$1,products!$A$1:$G$1,0))</f>
        <v>Rob</v>
      </c>
      <c r="J207" t="str">
        <f>INDEX(products!$A$1:$G$49,MATCH(orders!$D207,products!$A$1:$A$49,0),MATCH($J$1,products!$A$1:$G$1,0))</f>
        <v>D</v>
      </c>
      <c r="K207" s="1">
        <f>INDEX(products!$A$1:$G$49,MATCH(orders!$D207,products!$A$1:$A$49,0),MATCH($K$1,products!$A$1:$G$1,0))</f>
        <v>0.2</v>
      </c>
      <c r="L207">
        <f>INDEX(products!$A$1:$G$49,MATCH(orders!$D207,products!$A$1:$A$49,0),MATCH($L$1,products!$A$1:$G$1,0))</f>
        <v>2.6849999999999996</v>
      </c>
      <c r="M207">
        <f t="shared" si="10"/>
        <v>8.0549999999999997</v>
      </c>
      <c r="N207" t="str">
        <f t="shared" si="11"/>
        <v>Robusta</v>
      </c>
      <c r="O207" t="str">
        <f t="shared" si="12"/>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_xlfn.XLOOKUP(C208,customers!$A$2:$A$1001,customers!$B$2:$B$1001,0)</f>
        <v>Nertie Poolman</v>
      </c>
      <c r="G208" s="2" t="str">
        <f>_xlfn.XLOOKUP(C208,customers!$A$2:$A$1001,customers!$C$2:$C$1001,0)</f>
        <v>npoolman5q@howstuffworks.com</v>
      </c>
      <c r="H208" s="2" t="str">
        <f>_xlfn.XLOOKUP(orders!C208,customers!$A$2:$A$1001,customers!$G$2:$G$1001,0)</f>
        <v>United States</v>
      </c>
      <c r="I208" t="str">
        <f>INDEX(products!$A$1:$G$49,MATCH(orders!$D208,products!$A$1:$A$49,0),MATCH($I$1,products!$A$1:$G$1,0))</f>
        <v>Ara</v>
      </c>
      <c r="J208" t="str">
        <f>INDEX(products!$A$1:$G$49,MATCH(orders!$D208,products!$A$1:$A$49,0),MATCH($J$1,products!$A$1:$G$1,0))</f>
        <v>M</v>
      </c>
      <c r="K208" s="1">
        <f>INDEX(products!$A$1:$G$49,MATCH(orders!$D208,products!$A$1:$A$49,0),MATCH($K$1,products!$A$1:$G$1,0))</f>
        <v>1</v>
      </c>
      <c r="L208">
        <f>INDEX(products!$A$1:$G$49,MATCH(orders!$D208,products!$A$1:$A$49,0),MATCH($L$1,products!$A$1:$G$1,0))</f>
        <v>11.25</v>
      </c>
      <c r="M208">
        <f t="shared" si="10"/>
        <v>22.5</v>
      </c>
      <c r="N208" t="str">
        <f t="shared" si="11"/>
        <v>Arabica</v>
      </c>
      <c r="O208" t="str">
        <f t="shared" si="12"/>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_xlfn.XLOOKUP(C209,customers!$A$2:$A$1001,customers!$B$2:$B$1001,0)</f>
        <v>Orbadiah Duny</v>
      </c>
      <c r="G209" s="2" t="str">
        <f>_xlfn.XLOOKUP(C209,customers!$A$2:$A$1001,customers!$C$2:$C$1001,0)</f>
        <v>oduny5r@constantcontact.com</v>
      </c>
      <c r="H209" s="2" t="str">
        <f>_xlfn.XLOOKUP(orders!C209,customers!$A$2:$A$1001,customers!$G$2:$G$1001,0)</f>
        <v>United States</v>
      </c>
      <c r="I209" t="str">
        <f>INDEX(products!$A$1:$G$49,MATCH(orders!$D209,products!$A$1:$A$49,0),MATCH($I$1,products!$A$1:$G$1,0))</f>
        <v>Ara</v>
      </c>
      <c r="J209" t="str">
        <f>INDEX(products!$A$1:$G$49,MATCH(orders!$D209,products!$A$1:$A$49,0),MATCH($J$1,products!$A$1:$G$1,0))</f>
        <v>M</v>
      </c>
      <c r="K209" s="1">
        <f>INDEX(products!$A$1:$G$49,MATCH(orders!$D209,products!$A$1:$A$49,0),MATCH($K$1,products!$A$1:$G$1,0))</f>
        <v>0.5</v>
      </c>
      <c r="L209">
        <f>INDEX(products!$A$1:$G$49,MATCH(orders!$D209,products!$A$1:$A$49,0),MATCH($L$1,products!$A$1:$G$1,0))</f>
        <v>6.75</v>
      </c>
      <c r="M209">
        <f t="shared" si="10"/>
        <v>40.5</v>
      </c>
      <c r="N209" t="str">
        <f t="shared" si="11"/>
        <v>Arabica</v>
      </c>
      <c r="O209" t="str">
        <f t="shared" si="12"/>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_xlfn.XLOOKUP(C210,customers!$A$2:$A$1001,customers!$B$2:$B$1001,0)</f>
        <v>Constance Halfhide</v>
      </c>
      <c r="G210" s="2" t="str">
        <f>_xlfn.XLOOKUP(C210,customers!$A$2:$A$1001,customers!$C$2:$C$1001,0)</f>
        <v>chalfhide5s@google.ru</v>
      </c>
      <c r="H210" s="2" t="str">
        <f>_xlfn.XLOOKUP(orders!C210,customers!$A$2:$A$1001,customers!$G$2:$G$1001,0)</f>
        <v>Ireland</v>
      </c>
      <c r="I210" t="str">
        <f>INDEX(products!$A$1:$G$49,MATCH(orders!$D210,products!$A$1:$A$49,0),MATCH($I$1,products!$A$1:$G$1,0))</f>
        <v>Exc</v>
      </c>
      <c r="J210" t="str">
        <f>INDEX(products!$A$1:$G$49,MATCH(orders!$D210,products!$A$1:$A$49,0),MATCH($J$1,products!$A$1:$G$1,0))</f>
        <v>D</v>
      </c>
      <c r="K210" s="1">
        <f>INDEX(products!$A$1:$G$49,MATCH(orders!$D210,products!$A$1:$A$49,0),MATCH($K$1,products!$A$1:$G$1,0))</f>
        <v>0.5</v>
      </c>
      <c r="L210">
        <f>INDEX(products!$A$1:$G$49,MATCH(orders!$D210,products!$A$1:$A$49,0),MATCH($L$1,products!$A$1:$G$1,0))</f>
        <v>7.29</v>
      </c>
      <c r="M210">
        <f t="shared" si="10"/>
        <v>29.16</v>
      </c>
      <c r="N210" t="str">
        <f t="shared" si="11"/>
        <v>Excelsa</v>
      </c>
      <c r="O210" t="str">
        <f t="shared" si="12"/>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_xlfn.XLOOKUP(C211,customers!$A$2:$A$1001,customers!$B$2:$B$1001,0)</f>
        <v>Fransisco Malecky</v>
      </c>
      <c r="G211" s="2" t="str">
        <f>_xlfn.XLOOKUP(C211,customers!$A$2:$A$1001,customers!$C$2:$C$1001,0)</f>
        <v>fmalecky5t@list-manage.com</v>
      </c>
      <c r="H211" s="2" t="str">
        <f>_xlfn.XLOOKUP(orders!C211,customers!$A$2:$A$1001,customers!$G$2:$G$1001,0)</f>
        <v>United Kingdom</v>
      </c>
      <c r="I211" t="str">
        <f>INDEX(products!$A$1:$G$49,MATCH(orders!$D211,products!$A$1:$A$49,0),MATCH($I$1,products!$A$1:$G$1,0))</f>
        <v>Ara</v>
      </c>
      <c r="J211" t="str">
        <f>INDEX(products!$A$1:$G$49,MATCH(orders!$D211,products!$A$1:$A$49,0),MATCH($J$1,products!$A$1:$G$1,0))</f>
        <v>M</v>
      </c>
      <c r="K211" s="1">
        <f>INDEX(products!$A$1:$G$49,MATCH(orders!$D211,products!$A$1:$A$49,0),MATCH($K$1,products!$A$1:$G$1,0))</f>
        <v>0.5</v>
      </c>
      <c r="L211">
        <f>INDEX(products!$A$1:$G$49,MATCH(orders!$D211,products!$A$1:$A$49,0),MATCH($L$1,products!$A$1:$G$1,0))</f>
        <v>6.75</v>
      </c>
      <c r="M211">
        <f t="shared" si="10"/>
        <v>6.75</v>
      </c>
      <c r="N211" t="str">
        <f t="shared" si="11"/>
        <v>Arabica</v>
      </c>
      <c r="O211" t="str">
        <f t="shared" si="12"/>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_xlfn.XLOOKUP(C212,customers!$A$2:$A$1001,customers!$B$2:$B$1001,0)</f>
        <v>Anselma Attwater</v>
      </c>
      <c r="G212" s="2" t="str">
        <f>_xlfn.XLOOKUP(C212,customers!$A$2:$A$1001,customers!$C$2:$C$1001,0)</f>
        <v>aattwater5u@wikia.com</v>
      </c>
      <c r="H212" s="2" t="str">
        <f>_xlfn.XLOOKUP(orders!C212,customers!$A$2:$A$1001,customers!$G$2:$G$1001,0)</f>
        <v>United States</v>
      </c>
      <c r="I212" t="str">
        <f>INDEX(products!$A$1:$G$49,MATCH(orders!$D212,products!$A$1:$A$49,0),MATCH($I$1,products!$A$1:$G$1,0))</f>
        <v>Lib</v>
      </c>
      <c r="J212" t="str">
        <f>INDEX(products!$A$1:$G$49,MATCH(orders!$D212,products!$A$1:$A$49,0),MATCH($J$1,products!$A$1:$G$1,0))</f>
        <v>D</v>
      </c>
      <c r="K212" s="1">
        <f>INDEX(products!$A$1:$G$49,MATCH(orders!$D212,products!$A$1:$A$49,0),MATCH($K$1,products!$A$1:$G$1,0))</f>
        <v>1</v>
      </c>
      <c r="L212">
        <f>INDEX(products!$A$1:$G$49,MATCH(orders!$D212,products!$A$1:$A$49,0),MATCH($L$1,products!$A$1:$G$1,0))</f>
        <v>12.95</v>
      </c>
      <c r="M212">
        <f t="shared" si="10"/>
        <v>51.8</v>
      </c>
      <c r="N212" t="str">
        <f t="shared" si="11"/>
        <v>Liberica</v>
      </c>
      <c r="O212" t="str">
        <f t="shared" si="12"/>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_xlfn.XLOOKUP(C213,customers!$A$2:$A$1001,customers!$B$2:$B$1001,0)</f>
        <v>Minette Whellans</v>
      </c>
      <c r="G213" s="2" t="str">
        <f>_xlfn.XLOOKUP(C213,customers!$A$2:$A$1001,customers!$C$2:$C$1001,0)</f>
        <v>mwhellans5v@mapquest.com</v>
      </c>
      <c r="H213" s="2" t="str">
        <f>_xlfn.XLOOKUP(orders!C213,customers!$A$2:$A$1001,customers!$G$2:$G$1001,0)</f>
        <v>United States</v>
      </c>
      <c r="I213" t="str">
        <f>INDEX(products!$A$1:$G$49,MATCH(orders!$D213,products!$A$1:$A$49,0),MATCH($I$1,products!$A$1:$G$1,0))</f>
        <v>Exc</v>
      </c>
      <c r="J213" t="str">
        <f>INDEX(products!$A$1:$G$49,MATCH(orders!$D213,products!$A$1:$A$49,0),MATCH($J$1,products!$A$1:$G$1,0))</f>
        <v>L</v>
      </c>
      <c r="K213" s="1">
        <f>INDEX(products!$A$1:$G$49,MATCH(orders!$D213,products!$A$1:$A$49,0),MATCH($K$1,products!$A$1:$G$1,0))</f>
        <v>0.5</v>
      </c>
      <c r="L213">
        <f>INDEX(products!$A$1:$G$49,MATCH(orders!$D213,products!$A$1:$A$49,0),MATCH($L$1,products!$A$1:$G$1,0))</f>
        <v>8.91</v>
      </c>
      <c r="M213">
        <f t="shared" si="10"/>
        <v>53.46</v>
      </c>
      <c r="N213" t="str">
        <f t="shared" si="11"/>
        <v>Excelsa</v>
      </c>
      <c r="O213" t="str">
        <f t="shared" si="12"/>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_xlfn.XLOOKUP(C214,customers!$A$2:$A$1001,customers!$B$2:$B$1001,0)</f>
        <v>Dael Camilletti</v>
      </c>
      <c r="G214" s="2" t="str">
        <f>_xlfn.XLOOKUP(C214,customers!$A$2:$A$1001,customers!$C$2:$C$1001,0)</f>
        <v>dcamilletti5w@businesswire.com</v>
      </c>
      <c r="H214" s="2" t="str">
        <f>_xlfn.XLOOKUP(orders!C214,customers!$A$2:$A$1001,customers!$G$2:$G$1001,0)</f>
        <v>United States</v>
      </c>
      <c r="I214" t="str">
        <f>INDEX(products!$A$1:$G$49,MATCH(orders!$D214,products!$A$1:$A$49,0),MATCH($I$1,products!$A$1:$G$1,0))</f>
        <v>Exc</v>
      </c>
      <c r="J214" t="str">
        <f>INDEX(products!$A$1:$G$49,MATCH(orders!$D214,products!$A$1:$A$49,0),MATCH($J$1,products!$A$1:$G$1,0))</f>
        <v>D</v>
      </c>
      <c r="K214" s="1">
        <f>INDEX(products!$A$1:$G$49,MATCH(orders!$D214,products!$A$1:$A$49,0),MATCH($K$1,products!$A$1:$G$1,0))</f>
        <v>0.2</v>
      </c>
      <c r="L214">
        <f>INDEX(products!$A$1:$G$49,MATCH(orders!$D214,products!$A$1:$A$49,0),MATCH($L$1,products!$A$1:$G$1,0))</f>
        <v>3.645</v>
      </c>
      <c r="M214">
        <f t="shared" si="10"/>
        <v>14.58</v>
      </c>
      <c r="N214" t="str">
        <f t="shared" si="11"/>
        <v>Excelsa</v>
      </c>
      <c r="O214" t="str">
        <f t="shared" si="12"/>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_xlfn.XLOOKUP(C215,customers!$A$2:$A$1001,customers!$B$2:$B$1001,0)</f>
        <v>Emiline Galgey</v>
      </c>
      <c r="G215" s="2" t="str">
        <f>_xlfn.XLOOKUP(C215,customers!$A$2:$A$1001,customers!$C$2:$C$1001,0)</f>
        <v>egalgey5x@wufoo.com</v>
      </c>
      <c r="H215" s="2" t="str">
        <f>_xlfn.XLOOKUP(orders!C215,customers!$A$2:$A$1001,customers!$G$2:$G$1001,0)</f>
        <v>United States</v>
      </c>
      <c r="I215" t="str">
        <f>INDEX(products!$A$1:$G$49,MATCH(orders!$D215,products!$A$1:$A$49,0),MATCH($I$1,products!$A$1:$G$1,0))</f>
        <v>Rob</v>
      </c>
      <c r="J215" t="str">
        <f>INDEX(products!$A$1:$G$49,MATCH(orders!$D215,products!$A$1:$A$49,0),MATCH($J$1,products!$A$1:$G$1,0))</f>
        <v>D</v>
      </c>
      <c r="K215" s="1">
        <f>INDEX(products!$A$1:$G$49,MATCH(orders!$D215,products!$A$1:$A$49,0),MATCH($K$1,products!$A$1:$G$1,0))</f>
        <v>2.5</v>
      </c>
      <c r="L215">
        <f>INDEX(products!$A$1:$G$49,MATCH(orders!$D215,products!$A$1:$A$49,0),MATCH($L$1,products!$A$1:$G$1,0))</f>
        <v>20.584999999999997</v>
      </c>
      <c r="M215">
        <f t="shared" si="10"/>
        <v>20.584999999999997</v>
      </c>
      <c r="N215" t="str">
        <f t="shared" si="11"/>
        <v>Robusta</v>
      </c>
      <c r="O215" t="str">
        <f t="shared" si="12"/>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_xlfn.XLOOKUP(C216,customers!$A$2:$A$1001,customers!$B$2:$B$1001,0)</f>
        <v>Murdock Hame</v>
      </c>
      <c r="G216" s="2" t="str">
        <f>_xlfn.XLOOKUP(C216,customers!$A$2:$A$1001,customers!$C$2:$C$1001,0)</f>
        <v>mhame5y@newsvine.com</v>
      </c>
      <c r="H216" s="2" t="str">
        <f>_xlfn.XLOOKUP(orders!C216,customers!$A$2:$A$1001,customers!$G$2:$G$1001,0)</f>
        <v>Ireland</v>
      </c>
      <c r="I216" t="str">
        <f>INDEX(products!$A$1:$G$49,MATCH(orders!$D216,products!$A$1:$A$49,0),MATCH($I$1,products!$A$1:$G$1,0))</f>
        <v>Lib</v>
      </c>
      <c r="J216" t="str">
        <f>INDEX(products!$A$1:$G$49,MATCH(orders!$D216,products!$A$1:$A$49,0),MATCH($J$1,products!$A$1:$G$1,0))</f>
        <v>L</v>
      </c>
      <c r="K216" s="1">
        <f>INDEX(products!$A$1:$G$49,MATCH(orders!$D216,products!$A$1:$A$49,0),MATCH($K$1,products!$A$1:$G$1,0))</f>
        <v>1</v>
      </c>
      <c r="L216">
        <f>INDEX(products!$A$1:$G$49,MATCH(orders!$D216,products!$A$1:$A$49,0),MATCH($L$1,products!$A$1:$G$1,0))</f>
        <v>15.85</v>
      </c>
      <c r="M216">
        <f t="shared" si="10"/>
        <v>31.7</v>
      </c>
      <c r="N216" t="str">
        <f t="shared" si="11"/>
        <v>Liberica</v>
      </c>
      <c r="O216" t="str">
        <f t="shared" si="12"/>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_xlfn.XLOOKUP(C217,customers!$A$2:$A$1001,customers!$B$2:$B$1001,0)</f>
        <v>Ilka Gurnee</v>
      </c>
      <c r="G217" s="2" t="str">
        <f>_xlfn.XLOOKUP(C217,customers!$A$2:$A$1001,customers!$C$2:$C$1001,0)</f>
        <v>igurnee5z@usnews.com</v>
      </c>
      <c r="H217" s="2" t="str">
        <f>_xlfn.XLOOKUP(orders!C217,customers!$A$2:$A$1001,customers!$G$2:$G$1001,0)</f>
        <v>United States</v>
      </c>
      <c r="I217" t="str">
        <f>INDEX(products!$A$1:$G$49,MATCH(orders!$D217,products!$A$1:$A$49,0),MATCH($I$1,products!$A$1:$G$1,0))</f>
        <v>Lib</v>
      </c>
      <c r="J217" t="str">
        <f>INDEX(products!$A$1:$G$49,MATCH(orders!$D217,products!$A$1:$A$49,0),MATCH($J$1,products!$A$1:$G$1,0))</f>
        <v>D</v>
      </c>
      <c r="K217" s="1">
        <f>INDEX(products!$A$1:$G$49,MATCH(orders!$D217,products!$A$1:$A$49,0),MATCH($K$1,products!$A$1:$G$1,0))</f>
        <v>0.2</v>
      </c>
      <c r="L217">
        <f>INDEX(products!$A$1:$G$49,MATCH(orders!$D217,products!$A$1:$A$49,0),MATCH($L$1,products!$A$1:$G$1,0))</f>
        <v>3.8849999999999998</v>
      </c>
      <c r="M217">
        <f t="shared" si="10"/>
        <v>23.31</v>
      </c>
      <c r="N217" t="str">
        <f t="shared" si="11"/>
        <v>Liberica</v>
      </c>
      <c r="O217" t="str">
        <f t="shared" si="12"/>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_xlfn.XLOOKUP(C218,customers!$A$2:$A$1001,customers!$B$2:$B$1001,0)</f>
        <v>Alfy Snowding</v>
      </c>
      <c r="G218" s="2" t="str">
        <f>_xlfn.XLOOKUP(C218,customers!$A$2:$A$1001,customers!$C$2:$C$1001,0)</f>
        <v>asnowding60@comsenz.com</v>
      </c>
      <c r="H218" s="2" t="str">
        <f>_xlfn.XLOOKUP(orders!C218,customers!$A$2:$A$1001,customers!$G$2:$G$1001,0)</f>
        <v>United States</v>
      </c>
      <c r="I218" t="str">
        <f>INDEX(products!$A$1:$G$49,MATCH(orders!$D218,products!$A$1:$A$49,0),MATCH($I$1,products!$A$1:$G$1,0))</f>
        <v>Lib</v>
      </c>
      <c r="J218" t="str">
        <f>INDEX(products!$A$1:$G$49,MATCH(orders!$D218,products!$A$1:$A$49,0),MATCH($J$1,products!$A$1:$G$1,0))</f>
        <v>M</v>
      </c>
      <c r="K218" s="1">
        <f>INDEX(products!$A$1:$G$49,MATCH(orders!$D218,products!$A$1:$A$49,0),MATCH($K$1,products!$A$1:$G$1,0))</f>
        <v>1</v>
      </c>
      <c r="L218">
        <f>INDEX(products!$A$1:$G$49,MATCH(orders!$D218,products!$A$1:$A$49,0),MATCH($L$1,products!$A$1:$G$1,0))</f>
        <v>14.55</v>
      </c>
      <c r="M218">
        <f t="shared" si="10"/>
        <v>58.2</v>
      </c>
      <c r="N218" t="str">
        <f t="shared" si="11"/>
        <v>Liberica</v>
      </c>
      <c r="O218" t="str">
        <f t="shared" si="12"/>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_xlfn.XLOOKUP(C219,customers!$A$2:$A$1001,customers!$B$2:$B$1001,0)</f>
        <v>Godfry Poinsett</v>
      </c>
      <c r="G219" s="2" t="str">
        <f>_xlfn.XLOOKUP(C219,customers!$A$2:$A$1001,customers!$C$2:$C$1001,0)</f>
        <v>gpoinsett61@berkeley.edu</v>
      </c>
      <c r="H219" s="2" t="str">
        <f>_xlfn.XLOOKUP(orders!C219,customers!$A$2:$A$1001,customers!$G$2:$G$1001,0)</f>
        <v>United States</v>
      </c>
      <c r="I219" t="str">
        <f>INDEX(products!$A$1:$G$49,MATCH(orders!$D219,products!$A$1:$A$49,0),MATCH($I$1,products!$A$1:$G$1,0))</f>
        <v>Exc</v>
      </c>
      <c r="J219" t="str">
        <f>INDEX(products!$A$1:$G$49,MATCH(orders!$D219,products!$A$1:$A$49,0),MATCH($J$1,products!$A$1:$G$1,0))</f>
        <v>L</v>
      </c>
      <c r="K219" s="1">
        <f>INDEX(products!$A$1:$G$49,MATCH(orders!$D219,products!$A$1:$A$49,0),MATCH($K$1,products!$A$1:$G$1,0))</f>
        <v>0.5</v>
      </c>
      <c r="L219">
        <f>INDEX(products!$A$1:$G$49,MATCH(orders!$D219,products!$A$1:$A$49,0),MATCH($L$1,products!$A$1:$G$1,0))</f>
        <v>8.91</v>
      </c>
      <c r="M219">
        <f t="shared" si="10"/>
        <v>35.64</v>
      </c>
      <c r="N219" t="str">
        <f t="shared" si="11"/>
        <v>Excelsa</v>
      </c>
      <c r="O219" t="str">
        <f t="shared" si="12"/>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_xlfn.XLOOKUP(C220,customers!$A$2:$A$1001,customers!$B$2:$B$1001,0)</f>
        <v>Rem Furman</v>
      </c>
      <c r="G220" s="2" t="str">
        <f>_xlfn.XLOOKUP(C220,customers!$A$2:$A$1001,customers!$C$2:$C$1001,0)</f>
        <v>rfurman62@t.co</v>
      </c>
      <c r="H220" s="2" t="str">
        <f>_xlfn.XLOOKUP(orders!C220,customers!$A$2:$A$1001,customers!$G$2:$G$1001,0)</f>
        <v>Ireland</v>
      </c>
      <c r="I220" t="str">
        <f>INDEX(products!$A$1:$G$49,MATCH(orders!$D220,products!$A$1:$A$49,0),MATCH($I$1,products!$A$1:$G$1,0))</f>
        <v>Ara</v>
      </c>
      <c r="J220" t="str">
        <f>INDEX(products!$A$1:$G$49,MATCH(orders!$D220,products!$A$1:$A$49,0),MATCH($J$1,products!$A$1:$G$1,0))</f>
        <v>M</v>
      </c>
      <c r="K220" s="1">
        <f>INDEX(products!$A$1:$G$49,MATCH(orders!$D220,products!$A$1:$A$49,0),MATCH($K$1,products!$A$1:$G$1,0))</f>
        <v>1</v>
      </c>
      <c r="L220">
        <f>INDEX(products!$A$1:$G$49,MATCH(orders!$D220,products!$A$1:$A$49,0),MATCH($L$1,products!$A$1:$G$1,0))</f>
        <v>11.25</v>
      </c>
      <c r="M220">
        <f t="shared" si="10"/>
        <v>56.25</v>
      </c>
      <c r="N220" t="str">
        <f t="shared" si="11"/>
        <v>Arabica</v>
      </c>
      <c r="O220" t="str">
        <f t="shared" si="12"/>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_xlfn.XLOOKUP(C221,customers!$A$2:$A$1001,customers!$B$2:$B$1001,0)</f>
        <v>Charis Crosier</v>
      </c>
      <c r="G221" s="2" t="str">
        <f>_xlfn.XLOOKUP(C221,customers!$A$2:$A$1001,customers!$C$2:$C$1001,0)</f>
        <v>ccrosier63@xrea.com</v>
      </c>
      <c r="H221" s="2" t="str">
        <f>_xlfn.XLOOKUP(orders!C221,customers!$A$2:$A$1001,customers!$G$2:$G$1001,0)</f>
        <v>United States</v>
      </c>
      <c r="I221" t="str">
        <f>INDEX(products!$A$1:$G$49,MATCH(orders!$D221,products!$A$1:$A$49,0),MATCH($I$1,products!$A$1:$G$1,0))</f>
        <v>Rob</v>
      </c>
      <c r="J221" t="str">
        <f>INDEX(products!$A$1:$G$49,MATCH(orders!$D221,products!$A$1:$A$49,0),MATCH($J$1,products!$A$1:$G$1,0))</f>
        <v>L</v>
      </c>
      <c r="K221" s="1">
        <f>INDEX(products!$A$1:$G$49,MATCH(orders!$D221,products!$A$1:$A$49,0),MATCH($K$1,products!$A$1:$G$1,0))</f>
        <v>0.2</v>
      </c>
      <c r="L221">
        <f>INDEX(products!$A$1:$G$49,MATCH(orders!$D221,products!$A$1:$A$49,0),MATCH($L$1,products!$A$1:$G$1,0))</f>
        <v>3.5849999999999995</v>
      </c>
      <c r="M221">
        <f t="shared" si="10"/>
        <v>10.754999999999999</v>
      </c>
      <c r="N221" t="str">
        <f t="shared" si="11"/>
        <v>Robusta</v>
      </c>
      <c r="O221" t="str">
        <f t="shared" si="12"/>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_xlfn.XLOOKUP(C222,customers!$A$2:$A$1001,customers!$B$2:$B$1001,0)</f>
        <v>Charis Crosier</v>
      </c>
      <c r="G222" s="2" t="str">
        <f>_xlfn.XLOOKUP(C222,customers!$A$2:$A$1001,customers!$C$2:$C$1001,0)</f>
        <v>ccrosier63@xrea.com</v>
      </c>
      <c r="H222" s="2" t="str">
        <f>_xlfn.XLOOKUP(orders!C222,customers!$A$2:$A$1001,customers!$G$2:$G$1001,0)</f>
        <v>United States</v>
      </c>
      <c r="I222" t="str">
        <f>INDEX(products!$A$1:$G$49,MATCH(orders!$D222,products!$A$1:$A$49,0),MATCH($I$1,products!$A$1:$G$1,0))</f>
        <v>Rob</v>
      </c>
      <c r="J222" t="str">
        <f>INDEX(products!$A$1:$G$49,MATCH(orders!$D222,products!$A$1:$A$49,0),MATCH($J$1,products!$A$1:$G$1,0))</f>
        <v>M</v>
      </c>
      <c r="K222" s="1">
        <f>INDEX(products!$A$1:$G$49,MATCH(orders!$D222,products!$A$1:$A$49,0),MATCH($K$1,products!$A$1:$G$1,0))</f>
        <v>0.2</v>
      </c>
      <c r="L222">
        <f>INDEX(products!$A$1:$G$49,MATCH(orders!$D222,products!$A$1:$A$49,0),MATCH($L$1,products!$A$1:$G$1,0))</f>
        <v>2.9849999999999999</v>
      </c>
      <c r="M222">
        <f t="shared" si="10"/>
        <v>14.924999999999999</v>
      </c>
      <c r="N222" t="str">
        <f t="shared" si="11"/>
        <v>Robusta</v>
      </c>
      <c r="O222" t="str">
        <f t="shared" si="12"/>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_xlfn.XLOOKUP(C223,customers!$A$2:$A$1001,customers!$B$2:$B$1001,0)</f>
        <v>Lenka Rushmer</v>
      </c>
      <c r="G223" s="2" t="str">
        <f>_xlfn.XLOOKUP(C223,customers!$A$2:$A$1001,customers!$C$2:$C$1001,0)</f>
        <v>lrushmer65@europa.eu</v>
      </c>
      <c r="H223" s="2" t="str">
        <f>_xlfn.XLOOKUP(orders!C223,customers!$A$2:$A$1001,customers!$G$2:$G$1001,0)</f>
        <v>United States</v>
      </c>
      <c r="I223" t="str">
        <f>INDEX(products!$A$1:$G$49,MATCH(orders!$D223,products!$A$1:$A$49,0),MATCH($I$1,products!$A$1:$G$1,0))</f>
        <v>Ara</v>
      </c>
      <c r="J223" t="str">
        <f>INDEX(products!$A$1:$G$49,MATCH(orders!$D223,products!$A$1:$A$49,0),MATCH($J$1,products!$A$1:$G$1,0))</f>
        <v>L</v>
      </c>
      <c r="K223" s="1">
        <f>INDEX(products!$A$1:$G$49,MATCH(orders!$D223,products!$A$1:$A$49,0),MATCH($K$1,products!$A$1:$G$1,0))</f>
        <v>1</v>
      </c>
      <c r="L223">
        <f>INDEX(products!$A$1:$G$49,MATCH(orders!$D223,products!$A$1:$A$49,0),MATCH($L$1,products!$A$1:$G$1,0))</f>
        <v>12.95</v>
      </c>
      <c r="M223">
        <f t="shared" si="10"/>
        <v>77.699999999999989</v>
      </c>
      <c r="N223" t="str">
        <f t="shared" si="11"/>
        <v>Arabica</v>
      </c>
      <c r="O223" t="str">
        <f t="shared" si="12"/>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_xlfn.XLOOKUP(C224,customers!$A$2:$A$1001,customers!$B$2:$B$1001,0)</f>
        <v>Waneta Edinborough</v>
      </c>
      <c r="G224" s="2" t="str">
        <f>_xlfn.XLOOKUP(C224,customers!$A$2:$A$1001,customers!$C$2:$C$1001,0)</f>
        <v>wedinborough66@github.io</v>
      </c>
      <c r="H224" s="2" t="str">
        <f>_xlfn.XLOOKUP(orders!C224,customers!$A$2:$A$1001,customers!$G$2:$G$1001,0)</f>
        <v>United States</v>
      </c>
      <c r="I224" t="str">
        <f>INDEX(products!$A$1:$G$49,MATCH(orders!$D224,products!$A$1:$A$49,0),MATCH($I$1,products!$A$1:$G$1,0))</f>
        <v>Lib</v>
      </c>
      <c r="J224" t="str">
        <f>INDEX(products!$A$1:$G$49,MATCH(orders!$D224,products!$A$1:$A$49,0),MATCH($J$1,products!$A$1:$G$1,0))</f>
        <v>D</v>
      </c>
      <c r="K224" s="1">
        <f>INDEX(products!$A$1:$G$49,MATCH(orders!$D224,products!$A$1:$A$49,0),MATCH($K$1,products!$A$1:$G$1,0))</f>
        <v>0.5</v>
      </c>
      <c r="L224">
        <f>INDEX(products!$A$1:$G$49,MATCH(orders!$D224,products!$A$1:$A$49,0),MATCH($L$1,products!$A$1:$G$1,0))</f>
        <v>7.77</v>
      </c>
      <c r="M224">
        <f t="shared" si="10"/>
        <v>23.31</v>
      </c>
      <c r="N224" t="str">
        <f t="shared" si="11"/>
        <v>Liberica</v>
      </c>
      <c r="O224" t="str">
        <f t="shared" si="12"/>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_xlfn.XLOOKUP(C225,customers!$A$2:$A$1001,customers!$B$2:$B$1001,0)</f>
        <v>Bobbe Piggott</v>
      </c>
      <c r="G225" s="2">
        <f>_xlfn.XLOOKUP(C225,customers!$A$2:$A$1001,customers!$C$2:$C$1001,0)</f>
        <v>0</v>
      </c>
      <c r="H225" s="2" t="str">
        <f>_xlfn.XLOOKUP(orders!C225,customers!$A$2:$A$1001,customers!$G$2:$G$1001,0)</f>
        <v>United States</v>
      </c>
      <c r="I225" t="str">
        <f>INDEX(products!$A$1:$G$49,MATCH(orders!$D225,products!$A$1:$A$49,0),MATCH($I$1,products!$A$1:$G$1,0))</f>
        <v>Exc</v>
      </c>
      <c r="J225" t="str">
        <f>INDEX(products!$A$1:$G$49,MATCH(orders!$D225,products!$A$1:$A$49,0),MATCH($J$1,products!$A$1:$G$1,0))</f>
        <v>L</v>
      </c>
      <c r="K225" s="1">
        <f>INDEX(products!$A$1:$G$49,MATCH(orders!$D225,products!$A$1:$A$49,0),MATCH($K$1,products!$A$1:$G$1,0))</f>
        <v>1</v>
      </c>
      <c r="L225">
        <f>INDEX(products!$A$1:$G$49,MATCH(orders!$D225,products!$A$1:$A$49,0),MATCH($L$1,products!$A$1:$G$1,0))</f>
        <v>14.85</v>
      </c>
      <c r="M225">
        <f t="shared" si="10"/>
        <v>59.4</v>
      </c>
      <c r="N225" t="str">
        <f t="shared" si="11"/>
        <v>Excelsa</v>
      </c>
      <c r="O225" t="str">
        <f t="shared" si="12"/>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_xlfn.XLOOKUP(C226,customers!$A$2:$A$1001,customers!$B$2:$B$1001,0)</f>
        <v>Ketty Bromehead</v>
      </c>
      <c r="G226" s="2" t="str">
        <f>_xlfn.XLOOKUP(C226,customers!$A$2:$A$1001,customers!$C$2:$C$1001,0)</f>
        <v>kbromehead68@un.org</v>
      </c>
      <c r="H226" s="2" t="str">
        <f>_xlfn.XLOOKUP(orders!C226,customers!$A$2:$A$1001,customers!$G$2:$G$1001,0)</f>
        <v>United States</v>
      </c>
      <c r="I226" t="str">
        <f>INDEX(products!$A$1:$G$49,MATCH(orders!$D226,products!$A$1:$A$49,0),MATCH($I$1,products!$A$1:$G$1,0))</f>
        <v>Lib</v>
      </c>
      <c r="J226" t="str">
        <f>INDEX(products!$A$1:$G$49,MATCH(orders!$D226,products!$A$1:$A$49,0),MATCH($J$1,products!$A$1:$G$1,0))</f>
        <v>D</v>
      </c>
      <c r="K226" s="1">
        <f>INDEX(products!$A$1:$G$49,MATCH(orders!$D226,products!$A$1:$A$49,0),MATCH($K$1,products!$A$1:$G$1,0))</f>
        <v>2.5</v>
      </c>
      <c r="L226">
        <f>INDEX(products!$A$1:$G$49,MATCH(orders!$D226,products!$A$1:$A$49,0),MATCH($L$1,products!$A$1:$G$1,0))</f>
        <v>29.784999999999997</v>
      </c>
      <c r="M226">
        <f t="shared" si="10"/>
        <v>119.13999999999999</v>
      </c>
      <c r="N226" t="str">
        <f t="shared" si="11"/>
        <v>Liberica</v>
      </c>
      <c r="O226" t="str">
        <f t="shared" si="12"/>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_xlfn.XLOOKUP(C227,customers!$A$2:$A$1001,customers!$B$2:$B$1001,0)</f>
        <v>Elsbeth Westerman</v>
      </c>
      <c r="G227" s="2" t="str">
        <f>_xlfn.XLOOKUP(C227,customers!$A$2:$A$1001,customers!$C$2:$C$1001,0)</f>
        <v>ewesterman69@si.edu</v>
      </c>
      <c r="H227" s="2" t="str">
        <f>_xlfn.XLOOKUP(orders!C227,customers!$A$2:$A$1001,customers!$G$2:$G$1001,0)</f>
        <v>Ireland</v>
      </c>
      <c r="I227" t="str">
        <f>INDEX(products!$A$1:$G$49,MATCH(orders!$D227,products!$A$1:$A$49,0),MATCH($I$1,products!$A$1:$G$1,0))</f>
        <v>Rob</v>
      </c>
      <c r="J227" t="str">
        <f>INDEX(products!$A$1:$G$49,MATCH(orders!$D227,products!$A$1:$A$49,0),MATCH($J$1,products!$A$1:$G$1,0))</f>
        <v>L</v>
      </c>
      <c r="K227" s="1">
        <f>INDEX(products!$A$1:$G$49,MATCH(orders!$D227,products!$A$1:$A$49,0),MATCH($K$1,products!$A$1:$G$1,0))</f>
        <v>0.2</v>
      </c>
      <c r="L227">
        <f>INDEX(products!$A$1:$G$49,MATCH(orders!$D227,products!$A$1:$A$49,0),MATCH($L$1,products!$A$1:$G$1,0))</f>
        <v>3.5849999999999995</v>
      </c>
      <c r="M227">
        <f t="shared" si="10"/>
        <v>14.339999999999998</v>
      </c>
      <c r="N227" t="str">
        <f t="shared" si="11"/>
        <v>Robusta</v>
      </c>
      <c r="O227" t="str">
        <f t="shared" si="12"/>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_xlfn.XLOOKUP(C228,customers!$A$2:$A$1001,customers!$B$2:$B$1001,0)</f>
        <v>Anabelle Hutchens</v>
      </c>
      <c r="G228" s="2" t="str">
        <f>_xlfn.XLOOKUP(C228,customers!$A$2:$A$1001,customers!$C$2:$C$1001,0)</f>
        <v>ahutchens6a@amazonaws.com</v>
      </c>
      <c r="H228" s="2" t="str">
        <f>_xlfn.XLOOKUP(orders!C228,customers!$A$2:$A$1001,customers!$G$2:$G$1001,0)</f>
        <v>United States</v>
      </c>
      <c r="I228" t="str">
        <f>INDEX(products!$A$1:$G$49,MATCH(orders!$D228,products!$A$1:$A$49,0),MATCH($I$1,products!$A$1:$G$1,0))</f>
        <v>Ara</v>
      </c>
      <c r="J228" t="str">
        <f>INDEX(products!$A$1:$G$49,MATCH(orders!$D228,products!$A$1:$A$49,0),MATCH($J$1,products!$A$1:$G$1,0))</f>
        <v>M</v>
      </c>
      <c r="K228" s="1">
        <f>INDEX(products!$A$1:$G$49,MATCH(orders!$D228,products!$A$1:$A$49,0),MATCH($K$1,products!$A$1:$G$1,0))</f>
        <v>2.5</v>
      </c>
      <c r="L228">
        <f>INDEX(products!$A$1:$G$49,MATCH(orders!$D228,products!$A$1:$A$49,0),MATCH($L$1,products!$A$1:$G$1,0))</f>
        <v>25.874999999999996</v>
      </c>
      <c r="M228">
        <f t="shared" si="10"/>
        <v>129.37499999999997</v>
      </c>
      <c r="N228" t="str">
        <f t="shared" si="11"/>
        <v>Arabica</v>
      </c>
      <c r="O228" t="str">
        <f t="shared" si="12"/>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_xlfn.XLOOKUP(C229,customers!$A$2:$A$1001,customers!$B$2:$B$1001,0)</f>
        <v>Noak Wyvill</v>
      </c>
      <c r="G229" s="2" t="str">
        <f>_xlfn.XLOOKUP(C229,customers!$A$2:$A$1001,customers!$C$2:$C$1001,0)</f>
        <v>nwyvill6b@naver.com</v>
      </c>
      <c r="H229" s="2" t="str">
        <f>_xlfn.XLOOKUP(orders!C229,customers!$A$2:$A$1001,customers!$G$2:$G$1001,0)</f>
        <v>United Kingdom</v>
      </c>
      <c r="I229" t="str">
        <f>INDEX(products!$A$1:$G$49,MATCH(orders!$D229,products!$A$1:$A$49,0),MATCH($I$1,products!$A$1:$G$1,0))</f>
        <v>Rob</v>
      </c>
      <c r="J229" t="str">
        <f>INDEX(products!$A$1:$G$49,MATCH(orders!$D229,products!$A$1:$A$49,0),MATCH($J$1,products!$A$1:$G$1,0))</f>
        <v>D</v>
      </c>
      <c r="K229" s="1">
        <f>INDEX(products!$A$1:$G$49,MATCH(orders!$D229,products!$A$1:$A$49,0),MATCH($K$1,products!$A$1:$G$1,0))</f>
        <v>0.2</v>
      </c>
      <c r="L229">
        <f>INDEX(products!$A$1:$G$49,MATCH(orders!$D229,products!$A$1:$A$49,0),MATCH($L$1,products!$A$1:$G$1,0))</f>
        <v>2.6849999999999996</v>
      </c>
      <c r="M229">
        <f t="shared" si="10"/>
        <v>16.11</v>
      </c>
      <c r="N229" t="str">
        <f t="shared" si="11"/>
        <v>Robusta</v>
      </c>
      <c r="O229" t="str">
        <f t="shared" si="12"/>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_xlfn.XLOOKUP(C230,customers!$A$2:$A$1001,customers!$B$2:$B$1001,0)</f>
        <v>Beltran Mathon</v>
      </c>
      <c r="G230" s="2" t="str">
        <f>_xlfn.XLOOKUP(C230,customers!$A$2:$A$1001,customers!$C$2:$C$1001,0)</f>
        <v>bmathon6c@barnesandnoble.com</v>
      </c>
      <c r="H230" s="2" t="str">
        <f>_xlfn.XLOOKUP(orders!C230,customers!$A$2:$A$1001,customers!$G$2:$G$1001,0)</f>
        <v>United States</v>
      </c>
      <c r="I230" t="str">
        <f>INDEX(products!$A$1:$G$49,MATCH(orders!$D230,products!$A$1:$A$49,0),MATCH($I$1,products!$A$1:$G$1,0))</f>
        <v>Rob</v>
      </c>
      <c r="J230" t="str">
        <f>INDEX(products!$A$1:$G$49,MATCH(orders!$D230,products!$A$1:$A$49,0),MATCH($J$1,products!$A$1:$G$1,0))</f>
        <v>L</v>
      </c>
      <c r="K230" s="1">
        <f>INDEX(products!$A$1:$G$49,MATCH(orders!$D230,products!$A$1:$A$49,0),MATCH($K$1,products!$A$1:$G$1,0))</f>
        <v>0.2</v>
      </c>
      <c r="L230">
        <f>INDEX(products!$A$1:$G$49,MATCH(orders!$D230,products!$A$1:$A$49,0),MATCH($L$1,products!$A$1:$G$1,0))</f>
        <v>3.5849999999999995</v>
      </c>
      <c r="M230">
        <f t="shared" si="10"/>
        <v>17.924999999999997</v>
      </c>
      <c r="N230" t="str">
        <f t="shared" si="11"/>
        <v>Robusta</v>
      </c>
      <c r="O230" t="str">
        <f t="shared" si="12"/>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_xlfn.XLOOKUP(C231,customers!$A$2:$A$1001,customers!$B$2:$B$1001,0)</f>
        <v>Kristos Streight</v>
      </c>
      <c r="G231" s="2" t="str">
        <f>_xlfn.XLOOKUP(C231,customers!$A$2:$A$1001,customers!$C$2:$C$1001,0)</f>
        <v>kstreight6d@about.com</v>
      </c>
      <c r="H231" s="2" t="str">
        <f>_xlfn.XLOOKUP(orders!C231,customers!$A$2:$A$1001,customers!$G$2:$G$1001,0)</f>
        <v>United States</v>
      </c>
      <c r="I231" t="str">
        <f>INDEX(products!$A$1:$G$49,MATCH(orders!$D231,products!$A$1:$A$49,0),MATCH($I$1,products!$A$1:$G$1,0))</f>
        <v>Lib</v>
      </c>
      <c r="J231" t="str">
        <f>INDEX(products!$A$1:$G$49,MATCH(orders!$D231,products!$A$1:$A$49,0),MATCH($J$1,products!$A$1:$G$1,0))</f>
        <v>M</v>
      </c>
      <c r="K231" s="1">
        <f>INDEX(products!$A$1:$G$49,MATCH(orders!$D231,products!$A$1:$A$49,0),MATCH($K$1,products!$A$1:$G$1,0))</f>
        <v>0.2</v>
      </c>
      <c r="L231">
        <f>INDEX(products!$A$1:$G$49,MATCH(orders!$D231,products!$A$1:$A$49,0),MATCH($L$1,products!$A$1:$G$1,0))</f>
        <v>4.3650000000000002</v>
      </c>
      <c r="M231">
        <f t="shared" si="10"/>
        <v>8.73</v>
      </c>
      <c r="N231" t="str">
        <f t="shared" si="11"/>
        <v>Liberica</v>
      </c>
      <c r="O231" t="str">
        <f t="shared" si="12"/>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_xlfn.XLOOKUP(C232,customers!$A$2:$A$1001,customers!$B$2:$B$1001,0)</f>
        <v>Portie Cutchie</v>
      </c>
      <c r="G232" s="2" t="str">
        <f>_xlfn.XLOOKUP(C232,customers!$A$2:$A$1001,customers!$C$2:$C$1001,0)</f>
        <v>pcutchie6e@globo.com</v>
      </c>
      <c r="H232" s="2" t="str">
        <f>_xlfn.XLOOKUP(orders!C232,customers!$A$2:$A$1001,customers!$G$2:$G$1001,0)</f>
        <v>United States</v>
      </c>
      <c r="I232" t="str">
        <f>INDEX(products!$A$1:$G$49,MATCH(orders!$D232,products!$A$1:$A$49,0),MATCH($I$1,products!$A$1:$G$1,0))</f>
        <v>Ara</v>
      </c>
      <c r="J232" t="str">
        <f>INDEX(products!$A$1:$G$49,MATCH(orders!$D232,products!$A$1:$A$49,0),MATCH($J$1,products!$A$1:$G$1,0))</f>
        <v>M</v>
      </c>
      <c r="K232" s="1">
        <f>INDEX(products!$A$1:$G$49,MATCH(orders!$D232,products!$A$1:$A$49,0),MATCH($K$1,products!$A$1:$G$1,0))</f>
        <v>2.5</v>
      </c>
      <c r="L232">
        <f>INDEX(products!$A$1:$G$49,MATCH(orders!$D232,products!$A$1:$A$49,0),MATCH($L$1,products!$A$1:$G$1,0))</f>
        <v>25.874999999999996</v>
      </c>
      <c r="M232">
        <f t="shared" si="10"/>
        <v>51.749999999999993</v>
      </c>
      <c r="N232" t="str">
        <f t="shared" si="11"/>
        <v>Arabica</v>
      </c>
      <c r="O232" t="str">
        <f t="shared" si="12"/>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_xlfn.XLOOKUP(C233,customers!$A$2:$A$1001,customers!$B$2:$B$1001,0)</f>
        <v>Sinclare Edsell</v>
      </c>
      <c r="G233" s="2">
        <f>_xlfn.XLOOKUP(C233,customers!$A$2:$A$1001,customers!$C$2:$C$1001,0)</f>
        <v>0</v>
      </c>
      <c r="H233" s="2" t="str">
        <f>_xlfn.XLOOKUP(orders!C233,customers!$A$2:$A$1001,customers!$G$2:$G$1001,0)</f>
        <v>United States</v>
      </c>
      <c r="I233" t="str">
        <f>INDEX(products!$A$1:$G$49,MATCH(orders!$D233,products!$A$1:$A$49,0),MATCH($I$1,products!$A$1:$G$1,0))</f>
        <v>Lib</v>
      </c>
      <c r="J233" t="str">
        <f>INDEX(products!$A$1:$G$49,MATCH(orders!$D233,products!$A$1:$A$49,0),MATCH($J$1,products!$A$1:$G$1,0))</f>
        <v>M</v>
      </c>
      <c r="K233" s="1">
        <f>INDEX(products!$A$1:$G$49,MATCH(orders!$D233,products!$A$1:$A$49,0),MATCH($K$1,products!$A$1:$G$1,0))</f>
        <v>0.2</v>
      </c>
      <c r="L233">
        <f>INDEX(products!$A$1:$G$49,MATCH(orders!$D233,products!$A$1:$A$49,0),MATCH($L$1,products!$A$1:$G$1,0))</f>
        <v>4.3650000000000002</v>
      </c>
      <c r="M233">
        <f t="shared" si="10"/>
        <v>8.73</v>
      </c>
      <c r="N233" t="str">
        <f t="shared" si="11"/>
        <v>Liberica</v>
      </c>
      <c r="O233" t="str">
        <f t="shared" si="12"/>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_xlfn.XLOOKUP(C234,customers!$A$2:$A$1001,customers!$B$2:$B$1001,0)</f>
        <v>Conny Gheraldi</v>
      </c>
      <c r="G234" s="2" t="str">
        <f>_xlfn.XLOOKUP(C234,customers!$A$2:$A$1001,customers!$C$2:$C$1001,0)</f>
        <v>cgheraldi6g@opera.com</v>
      </c>
      <c r="H234" s="2" t="str">
        <f>_xlfn.XLOOKUP(orders!C234,customers!$A$2:$A$1001,customers!$G$2:$G$1001,0)</f>
        <v>United Kingdom</v>
      </c>
      <c r="I234" t="str">
        <f>INDEX(products!$A$1:$G$49,MATCH(orders!$D234,products!$A$1:$A$49,0),MATCH($I$1,products!$A$1:$G$1,0))</f>
        <v>Lib</v>
      </c>
      <c r="J234" t="str">
        <f>INDEX(products!$A$1:$G$49,MATCH(orders!$D234,products!$A$1:$A$49,0),MATCH($J$1,products!$A$1:$G$1,0))</f>
        <v>L</v>
      </c>
      <c r="K234" s="1">
        <f>INDEX(products!$A$1:$G$49,MATCH(orders!$D234,products!$A$1:$A$49,0),MATCH($K$1,products!$A$1:$G$1,0))</f>
        <v>0.2</v>
      </c>
      <c r="L234">
        <f>INDEX(products!$A$1:$G$49,MATCH(orders!$D234,products!$A$1:$A$49,0),MATCH($L$1,products!$A$1:$G$1,0))</f>
        <v>4.7549999999999999</v>
      </c>
      <c r="M234">
        <f t="shared" si="10"/>
        <v>23.774999999999999</v>
      </c>
      <c r="N234" t="str">
        <f t="shared" si="11"/>
        <v>Liberica</v>
      </c>
      <c r="O234" t="str">
        <f t="shared" si="12"/>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_xlfn.XLOOKUP(C235,customers!$A$2:$A$1001,customers!$B$2:$B$1001,0)</f>
        <v>Beryle Kenwell</v>
      </c>
      <c r="G235" s="2" t="str">
        <f>_xlfn.XLOOKUP(C235,customers!$A$2:$A$1001,customers!$C$2:$C$1001,0)</f>
        <v>bkenwell6h@over-blog.com</v>
      </c>
      <c r="H235" s="2" t="str">
        <f>_xlfn.XLOOKUP(orders!C235,customers!$A$2:$A$1001,customers!$G$2:$G$1001,0)</f>
        <v>United States</v>
      </c>
      <c r="I235" t="str">
        <f>INDEX(products!$A$1:$G$49,MATCH(orders!$D235,products!$A$1:$A$49,0),MATCH($I$1,products!$A$1:$G$1,0))</f>
        <v>Exc</v>
      </c>
      <c r="J235" t="str">
        <f>INDEX(products!$A$1:$G$49,MATCH(orders!$D235,products!$A$1:$A$49,0),MATCH($J$1,products!$A$1:$G$1,0))</f>
        <v>M</v>
      </c>
      <c r="K235" s="1">
        <f>INDEX(products!$A$1:$G$49,MATCH(orders!$D235,products!$A$1:$A$49,0),MATCH($K$1,products!$A$1:$G$1,0))</f>
        <v>0.2</v>
      </c>
      <c r="L235">
        <f>INDEX(products!$A$1:$G$49,MATCH(orders!$D235,products!$A$1:$A$49,0),MATCH($L$1,products!$A$1:$G$1,0))</f>
        <v>4.125</v>
      </c>
      <c r="M235">
        <f t="shared" si="10"/>
        <v>20.625</v>
      </c>
      <c r="N235" t="str">
        <f t="shared" si="11"/>
        <v>Excelsa</v>
      </c>
      <c r="O235" t="str">
        <f t="shared" si="12"/>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_xlfn.XLOOKUP(C236,customers!$A$2:$A$1001,customers!$B$2:$B$1001,0)</f>
        <v>Tomas Sutty</v>
      </c>
      <c r="G236" s="2" t="str">
        <f>_xlfn.XLOOKUP(C236,customers!$A$2:$A$1001,customers!$C$2:$C$1001,0)</f>
        <v>tsutty6i@google.es</v>
      </c>
      <c r="H236" s="2" t="str">
        <f>_xlfn.XLOOKUP(orders!C236,customers!$A$2:$A$1001,customers!$G$2:$G$1001,0)</f>
        <v>United States</v>
      </c>
      <c r="I236" t="str">
        <f>INDEX(products!$A$1:$G$49,MATCH(orders!$D236,products!$A$1:$A$49,0),MATCH($I$1,products!$A$1:$G$1,0))</f>
        <v>Lib</v>
      </c>
      <c r="J236" t="str">
        <f>INDEX(products!$A$1:$G$49,MATCH(orders!$D236,products!$A$1:$A$49,0),MATCH($J$1,products!$A$1:$G$1,0))</f>
        <v>L</v>
      </c>
      <c r="K236" s="1">
        <f>INDEX(products!$A$1:$G$49,MATCH(orders!$D236,products!$A$1:$A$49,0),MATCH($K$1,products!$A$1:$G$1,0))</f>
        <v>2.5</v>
      </c>
      <c r="L236">
        <f>INDEX(products!$A$1:$G$49,MATCH(orders!$D236,products!$A$1:$A$49,0),MATCH($L$1,products!$A$1:$G$1,0))</f>
        <v>36.454999999999998</v>
      </c>
      <c r="M236">
        <f t="shared" si="10"/>
        <v>36.454999999999998</v>
      </c>
      <c r="N236" t="str">
        <f t="shared" si="11"/>
        <v>Liberica</v>
      </c>
      <c r="O236" t="str">
        <f t="shared" si="12"/>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_xlfn.XLOOKUP(C237,customers!$A$2:$A$1001,customers!$B$2:$B$1001,0)</f>
        <v>Samuele Ales0</v>
      </c>
      <c r="G237" s="2">
        <f>_xlfn.XLOOKUP(C237,customers!$A$2:$A$1001,customers!$C$2:$C$1001,0)</f>
        <v>0</v>
      </c>
      <c r="H237" s="2" t="str">
        <f>_xlfn.XLOOKUP(orders!C237,customers!$A$2:$A$1001,customers!$G$2:$G$1001,0)</f>
        <v>Ireland</v>
      </c>
      <c r="I237" t="str">
        <f>INDEX(products!$A$1:$G$49,MATCH(orders!$D237,products!$A$1:$A$49,0),MATCH($I$1,products!$A$1:$G$1,0))</f>
        <v>Lib</v>
      </c>
      <c r="J237" t="str">
        <f>INDEX(products!$A$1:$G$49,MATCH(orders!$D237,products!$A$1:$A$49,0),MATCH($J$1,products!$A$1:$G$1,0))</f>
        <v>L</v>
      </c>
      <c r="K237" s="1">
        <f>INDEX(products!$A$1:$G$49,MATCH(orders!$D237,products!$A$1:$A$49,0),MATCH($K$1,products!$A$1:$G$1,0))</f>
        <v>2.5</v>
      </c>
      <c r="L237">
        <f>INDEX(products!$A$1:$G$49,MATCH(orders!$D237,products!$A$1:$A$49,0),MATCH($L$1,products!$A$1:$G$1,0))</f>
        <v>36.454999999999998</v>
      </c>
      <c r="M237">
        <f t="shared" si="10"/>
        <v>182.27499999999998</v>
      </c>
      <c r="N237" t="str">
        <f t="shared" si="11"/>
        <v>Liberica</v>
      </c>
      <c r="O237" t="str">
        <f t="shared" si="12"/>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_xlfn.XLOOKUP(C238,customers!$A$2:$A$1001,customers!$B$2:$B$1001,0)</f>
        <v>Carlie Harce</v>
      </c>
      <c r="G238" s="2" t="str">
        <f>_xlfn.XLOOKUP(C238,customers!$A$2:$A$1001,customers!$C$2:$C$1001,0)</f>
        <v>charce6k@cafepress.com</v>
      </c>
      <c r="H238" s="2" t="str">
        <f>_xlfn.XLOOKUP(orders!C238,customers!$A$2:$A$1001,customers!$G$2:$G$1001,0)</f>
        <v>Ireland</v>
      </c>
      <c r="I238" t="str">
        <f>INDEX(products!$A$1:$G$49,MATCH(orders!$D238,products!$A$1:$A$49,0),MATCH($I$1,products!$A$1:$G$1,0))</f>
        <v>Lib</v>
      </c>
      <c r="J238" t="str">
        <f>INDEX(products!$A$1:$G$49,MATCH(orders!$D238,products!$A$1:$A$49,0),MATCH($J$1,products!$A$1:$G$1,0))</f>
        <v>D</v>
      </c>
      <c r="K238" s="1">
        <f>INDEX(products!$A$1:$G$49,MATCH(orders!$D238,products!$A$1:$A$49,0),MATCH($K$1,products!$A$1:$G$1,0))</f>
        <v>2.5</v>
      </c>
      <c r="L238">
        <f>INDEX(products!$A$1:$G$49,MATCH(orders!$D238,products!$A$1:$A$49,0),MATCH($L$1,products!$A$1:$G$1,0))</f>
        <v>29.784999999999997</v>
      </c>
      <c r="M238">
        <f t="shared" si="10"/>
        <v>89.35499999999999</v>
      </c>
      <c r="N238" t="str">
        <f t="shared" si="11"/>
        <v>Liberica</v>
      </c>
      <c r="O238" t="str">
        <f t="shared" si="12"/>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_xlfn.XLOOKUP(C239,customers!$A$2:$A$1001,customers!$B$2:$B$1001,0)</f>
        <v>Craggy Bril</v>
      </c>
      <c r="G239" s="2">
        <f>_xlfn.XLOOKUP(C239,customers!$A$2:$A$1001,customers!$C$2:$C$1001,0)</f>
        <v>0</v>
      </c>
      <c r="H239" s="2" t="str">
        <f>_xlfn.XLOOKUP(orders!C239,customers!$A$2:$A$1001,customers!$G$2:$G$1001,0)</f>
        <v>United States</v>
      </c>
      <c r="I239" t="str">
        <f>INDEX(products!$A$1:$G$49,MATCH(orders!$D239,products!$A$1:$A$49,0),MATCH($I$1,products!$A$1:$G$1,0))</f>
        <v>Rob</v>
      </c>
      <c r="J239" t="str">
        <f>INDEX(products!$A$1:$G$49,MATCH(orders!$D239,products!$A$1:$A$49,0),MATCH($J$1,products!$A$1:$G$1,0))</f>
        <v>L</v>
      </c>
      <c r="K239" s="1">
        <f>INDEX(products!$A$1:$G$49,MATCH(orders!$D239,products!$A$1:$A$49,0),MATCH($K$1,products!$A$1:$G$1,0))</f>
        <v>0.2</v>
      </c>
      <c r="L239">
        <f>INDEX(products!$A$1:$G$49,MATCH(orders!$D239,products!$A$1:$A$49,0),MATCH($L$1,products!$A$1:$G$1,0))</f>
        <v>3.5849999999999995</v>
      </c>
      <c r="M239">
        <f t="shared" si="10"/>
        <v>3.5849999999999995</v>
      </c>
      <c r="N239" t="str">
        <f t="shared" si="11"/>
        <v>Robusta</v>
      </c>
      <c r="O239" t="str">
        <f t="shared" si="12"/>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_xlfn.XLOOKUP(C240,customers!$A$2:$A$1001,customers!$B$2:$B$1001,0)</f>
        <v>Friederike Drysdale</v>
      </c>
      <c r="G240" s="2" t="str">
        <f>_xlfn.XLOOKUP(C240,customers!$A$2:$A$1001,customers!$C$2:$C$1001,0)</f>
        <v>fdrysdale6m@symantec.com</v>
      </c>
      <c r="H240" s="2" t="str">
        <f>_xlfn.XLOOKUP(orders!C240,customers!$A$2:$A$1001,customers!$G$2:$G$1001,0)</f>
        <v>United States</v>
      </c>
      <c r="I240" t="str">
        <f>INDEX(products!$A$1:$G$49,MATCH(orders!$D240,products!$A$1:$A$49,0),MATCH($I$1,products!$A$1:$G$1,0))</f>
        <v>Rob</v>
      </c>
      <c r="J240" t="str">
        <f>INDEX(products!$A$1:$G$49,MATCH(orders!$D240,products!$A$1:$A$49,0),MATCH($J$1,products!$A$1:$G$1,0))</f>
        <v>M</v>
      </c>
      <c r="K240" s="1">
        <f>INDEX(products!$A$1:$G$49,MATCH(orders!$D240,products!$A$1:$A$49,0),MATCH($K$1,products!$A$1:$G$1,0))</f>
        <v>2.5</v>
      </c>
      <c r="L240">
        <f>INDEX(products!$A$1:$G$49,MATCH(orders!$D240,products!$A$1:$A$49,0),MATCH($L$1,products!$A$1:$G$1,0))</f>
        <v>22.884999999999998</v>
      </c>
      <c r="M240">
        <f t="shared" si="10"/>
        <v>45.769999999999996</v>
      </c>
      <c r="N240" t="str">
        <f t="shared" si="11"/>
        <v>Robusta</v>
      </c>
      <c r="O240" t="str">
        <f t="shared" si="12"/>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_xlfn.XLOOKUP(C241,customers!$A$2:$A$1001,customers!$B$2:$B$1001,0)</f>
        <v>Devon Magowan</v>
      </c>
      <c r="G241" s="2" t="str">
        <f>_xlfn.XLOOKUP(C241,customers!$A$2:$A$1001,customers!$C$2:$C$1001,0)</f>
        <v>dmagowan6n@fc2.com</v>
      </c>
      <c r="H241" s="2" t="str">
        <f>_xlfn.XLOOKUP(orders!C241,customers!$A$2:$A$1001,customers!$G$2:$G$1001,0)</f>
        <v>United States</v>
      </c>
      <c r="I241" t="str">
        <f>INDEX(products!$A$1:$G$49,MATCH(orders!$D241,products!$A$1:$A$49,0),MATCH($I$1,products!$A$1:$G$1,0))</f>
        <v>Exc</v>
      </c>
      <c r="J241" t="str">
        <f>INDEX(products!$A$1:$G$49,MATCH(orders!$D241,products!$A$1:$A$49,0),MATCH($J$1,products!$A$1:$G$1,0))</f>
        <v>L</v>
      </c>
      <c r="K241" s="1">
        <f>INDEX(products!$A$1:$G$49,MATCH(orders!$D241,products!$A$1:$A$49,0),MATCH($K$1,products!$A$1:$G$1,0))</f>
        <v>1</v>
      </c>
      <c r="L241">
        <f>INDEX(products!$A$1:$G$49,MATCH(orders!$D241,products!$A$1:$A$49,0),MATCH($L$1,products!$A$1:$G$1,0))</f>
        <v>14.85</v>
      </c>
      <c r="M241">
        <f t="shared" si="10"/>
        <v>59.4</v>
      </c>
      <c r="N241" t="str">
        <f t="shared" si="11"/>
        <v>Excelsa</v>
      </c>
      <c r="O241" t="str">
        <f t="shared" si="12"/>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_xlfn.XLOOKUP(C242,customers!$A$2:$A$1001,customers!$B$2:$B$1001,0)</f>
        <v>Codi Littrell</v>
      </c>
      <c r="G242" s="2">
        <f>_xlfn.XLOOKUP(C242,customers!$A$2:$A$1001,customers!$C$2:$C$1001,0)</f>
        <v>0</v>
      </c>
      <c r="H242" s="2" t="str">
        <f>_xlfn.XLOOKUP(orders!C242,customers!$A$2:$A$1001,customers!$G$2:$G$1001,0)</f>
        <v>United States</v>
      </c>
      <c r="I242" t="str">
        <f>INDEX(products!$A$1:$G$49,MATCH(orders!$D242,products!$A$1:$A$49,0),MATCH($I$1,products!$A$1:$G$1,0))</f>
        <v>Ara</v>
      </c>
      <c r="J242" t="str">
        <f>INDEX(products!$A$1:$G$49,MATCH(orders!$D242,products!$A$1:$A$49,0),MATCH($J$1,products!$A$1:$G$1,0))</f>
        <v>M</v>
      </c>
      <c r="K242" s="1">
        <f>INDEX(products!$A$1:$G$49,MATCH(orders!$D242,products!$A$1:$A$49,0),MATCH($K$1,products!$A$1:$G$1,0))</f>
        <v>2.5</v>
      </c>
      <c r="L242">
        <f>INDEX(products!$A$1:$G$49,MATCH(orders!$D242,products!$A$1:$A$49,0),MATCH($L$1,products!$A$1:$G$1,0))</f>
        <v>25.874999999999996</v>
      </c>
      <c r="M242">
        <f t="shared" si="10"/>
        <v>155.24999999999997</v>
      </c>
      <c r="N242" t="str">
        <f t="shared" si="11"/>
        <v>Arabica</v>
      </c>
      <c r="O242" t="str">
        <f t="shared" si="12"/>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_xlfn.XLOOKUP(C243,customers!$A$2:$A$1001,customers!$B$2:$B$1001,0)</f>
        <v>Christel Speak</v>
      </c>
      <c r="G243" s="2">
        <f>_xlfn.XLOOKUP(C243,customers!$A$2:$A$1001,customers!$C$2:$C$1001,0)</f>
        <v>0</v>
      </c>
      <c r="H243" s="2" t="str">
        <f>_xlfn.XLOOKUP(orders!C243,customers!$A$2:$A$1001,customers!$G$2:$G$1001,0)</f>
        <v>United States</v>
      </c>
      <c r="I243" t="str">
        <f>INDEX(products!$A$1:$G$49,MATCH(orders!$D243,products!$A$1:$A$49,0),MATCH($I$1,products!$A$1:$G$1,0))</f>
        <v>Rob</v>
      </c>
      <c r="J243" t="str">
        <f>INDEX(products!$A$1:$G$49,MATCH(orders!$D243,products!$A$1:$A$49,0),MATCH($J$1,products!$A$1:$G$1,0))</f>
        <v>M</v>
      </c>
      <c r="K243" s="1">
        <f>INDEX(products!$A$1:$G$49,MATCH(orders!$D243,products!$A$1:$A$49,0),MATCH($K$1,products!$A$1:$G$1,0))</f>
        <v>2.5</v>
      </c>
      <c r="L243">
        <f>INDEX(products!$A$1:$G$49,MATCH(orders!$D243,products!$A$1:$A$49,0),MATCH($L$1,products!$A$1:$G$1,0))</f>
        <v>22.884999999999998</v>
      </c>
      <c r="M243">
        <f t="shared" si="10"/>
        <v>45.769999999999996</v>
      </c>
      <c r="N243" t="str">
        <f t="shared" si="11"/>
        <v>Robusta</v>
      </c>
      <c r="O243" t="str">
        <f t="shared" si="12"/>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_xlfn.XLOOKUP(C244,customers!$A$2:$A$1001,customers!$B$2:$B$1001,0)</f>
        <v>Sibella Rushbrooke</v>
      </c>
      <c r="G244" s="2" t="str">
        <f>_xlfn.XLOOKUP(C244,customers!$A$2:$A$1001,customers!$C$2:$C$1001,0)</f>
        <v>srushbrooke6q@youku.com</v>
      </c>
      <c r="H244" s="2" t="str">
        <f>_xlfn.XLOOKUP(orders!C244,customers!$A$2:$A$1001,customers!$G$2:$G$1001,0)</f>
        <v>United States</v>
      </c>
      <c r="I244" t="str">
        <f>INDEX(products!$A$1:$G$49,MATCH(orders!$D244,products!$A$1:$A$49,0),MATCH($I$1,products!$A$1:$G$1,0))</f>
        <v>Exc</v>
      </c>
      <c r="J244" t="str">
        <f>INDEX(products!$A$1:$G$49,MATCH(orders!$D244,products!$A$1:$A$49,0),MATCH($J$1,products!$A$1:$G$1,0))</f>
        <v>D</v>
      </c>
      <c r="K244" s="1">
        <f>INDEX(products!$A$1:$G$49,MATCH(orders!$D244,products!$A$1:$A$49,0),MATCH($K$1,products!$A$1:$G$1,0))</f>
        <v>1</v>
      </c>
      <c r="L244">
        <f>INDEX(products!$A$1:$G$49,MATCH(orders!$D244,products!$A$1:$A$49,0),MATCH($L$1,products!$A$1:$G$1,0))</f>
        <v>12.15</v>
      </c>
      <c r="M244">
        <f t="shared" si="10"/>
        <v>36.450000000000003</v>
      </c>
      <c r="N244" t="str">
        <f t="shared" si="11"/>
        <v>Excelsa</v>
      </c>
      <c r="O244" t="str">
        <f t="shared" si="12"/>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_xlfn.XLOOKUP(C245,customers!$A$2:$A$1001,customers!$B$2:$B$1001,0)</f>
        <v>Tammie Drynan</v>
      </c>
      <c r="G245" s="2" t="str">
        <f>_xlfn.XLOOKUP(C245,customers!$A$2:$A$1001,customers!$C$2:$C$1001,0)</f>
        <v>tdrynan6r@deviantart.com</v>
      </c>
      <c r="H245" s="2" t="str">
        <f>_xlfn.XLOOKUP(orders!C245,customers!$A$2:$A$1001,customers!$G$2:$G$1001,0)</f>
        <v>United States</v>
      </c>
      <c r="I245" t="str">
        <f>INDEX(products!$A$1:$G$49,MATCH(orders!$D245,products!$A$1:$A$49,0),MATCH($I$1,products!$A$1:$G$1,0))</f>
        <v>Exc</v>
      </c>
      <c r="J245" t="str">
        <f>INDEX(products!$A$1:$G$49,MATCH(orders!$D245,products!$A$1:$A$49,0),MATCH($J$1,products!$A$1:$G$1,0))</f>
        <v>D</v>
      </c>
      <c r="K245" s="1">
        <f>INDEX(products!$A$1:$G$49,MATCH(orders!$D245,products!$A$1:$A$49,0),MATCH($K$1,products!$A$1:$G$1,0))</f>
        <v>0.5</v>
      </c>
      <c r="L245">
        <f>INDEX(products!$A$1:$G$49,MATCH(orders!$D245,products!$A$1:$A$49,0),MATCH($L$1,products!$A$1:$G$1,0))</f>
        <v>7.29</v>
      </c>
      <c r="M245">
        <f t="shared" si="10"/>
        <v>29.16</v>
      </c>
      <c r="N245" t="str">
        <f t="shared" si="11"/>
        <v>Excelsa</v>
      </c>
      <c r="O245" t="str">
        <f t="shared" si="12"/>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_xlfn.XLOOKUP(C246,customers!$A$2:$A$1001,customers!$B$2:$B$1001,0)</f>
        <v>Effie Yurkov</v>
      </c>
      <c r="G246" s="2" t="str">
        <f>_xlfn.XLOOKUP(C246,customers!$A$2:$A$1001,customers!$C$2:$C$1001,0)</f>
        <v>eyurkov6s@hud.gov</v>
      </c>
      <c r="H246" s="2" t="str">
        <f>_xlfn.XLOOKUP(orders!C246,customers!$A$2:$A$1001,customers!$G$2:$G$1001,0)</f>
        <v>United States</v>
      </c>
      <c r="I246" t="str">
        <f>INDEX(products!$A$1:$G$49,MATCH(orders!$D246,products!$A$1:$A$49,0),MATCH($I$1,products!$A$1:$G$1,0))</f>
        <v>Lib</v>
      </c>
      <c r="J246" t="str">
        <f>INDEX(products!$A$1:$G$49,MATCH(orders!$D246,products!$A$1:$A$49,0),MATCH($J$1,products!$A$1:$G$1,0))</f>
        <v>M</v>
      </c>
      <c r="K246" s="1">
        <f>INDEX(products!$A$1:$G$49,MATCH(orders!$D246,products!$A$1:$A$49,0),MATCH($K$1,products!$A$1:$G$1,0))</f>
        <v>2.5</v>
      </c>
      <c r="L246">
        <f>INDEX(products!$A$1:$G$49,MATCH(orders!$D246,products!$A$1:$A$49,0),MATCH($L$1,products!$A$1:$G$1,0))</f>
        <v>33.464999999999996</v>
      </c>
      <c r="M246">
        <f t="shared" si="10"/>
        <v>133.85999999999999</v>
      </c>
      <c r="N246" t="str">
        <f t="shared" si="11"/>
        <v>Liberica</v>
      </c>
      <c r="O246" t="str">
        <f t="shared" si="12"/>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_xlfn.XLOOKUP(C247,customers!$A$2:$A$1001,customers!$B$2:$B$1001,0)</f>
        <v>Lexie Mallan</v>
      </c>
      <c r="G247" s="2" t="str">
        <f>_xlfn.XLOOKUP(C247,customers!$A$2:$A$1001,customers!$C$2:$C$1001,0)</f>
        <v>lmallan6t@state.gov</v>
      </c>
      <c r="H247" s="2" t="str">
        <f>_xlfn.XLOOKUP(orders!C247,customers!$A$2:$A$1001,customers!$G$2:$G$1001,0)</f>
        <v>United States</v>
      </c>
      <c r="I247" t="str">
        <f>INDEX(products!$A$1:$G$49,MATCH(orders!$D247,products!$A$1:$A$49,0),MATCH($I$1,products!$A$1:$G$1,0))</f>
        <v>Lib</v>
      </c>
      <c r="J247" t="str">
        <f>INDEX(products!$A$1:$G$49,MATCH(orders!$D247,products!$A$1:$A$49,0),MATCH($J$1,products!$A$1:$G$1,0))</f>
        <v>L</v>
      </c>
      <c r="K247" s="1">
        <f>INDEX(products!$A$1:$G$49,MATCH(orders!$D247,products!$A$1:$A$49,0),MATCH($K$1,products!$A$1:$G$1,0))</f>
        <v>0.2</v>
      </c>
      <c r="L247">
        <f>INDEX(products!$A$1:$G$49,MATCH(orders!$D247,products!$A$1:$A$49,0),MATCH($L$1,products!$A$1:$G$1,0))</f>
        <v>4.7549999999999999</v>
      </c>
      <c r="M247">
        <f t="shared" si="10"/>
        <v>23.774999999999999</v>
      </c>
      <c r="N247" t="str">
        <f t="shared" si="11"/>
        <v>Liberica</v>
      </c>
      <c r="O247" t="str">
        <f t="shared" si="12"/>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_xlfn.XLOOKUP(C248,customers!$A$2:$A$1001,customers!$B$2:$B$1001,0)</f>
        <v>Georgena Bentjens</v>
      </c>
      <c r="G248" s="2" t="str">
        <f>_xlfn.XLOOKUP(C248,customers!$A$2:$A$1001,customers!$C$2:$C$1001,0)</f>
        <v>gbentjens6u@netlog.com</v>
      </c>
      <c r="H248" s="2" t="str">
        <f>_xlfn.XLOOKUP(orders!C248,customers!$A$2:$A$1001,customers!$G$2:$G$1001,0)</f>
        <v>United Kingdom</v>
      </c>
      <c r="I248" t="str">
        <f>INDEX(products!$A$1:$G$49,MATCH(orders!$D248,products!$A$1:$A$49,0),MATCH($I$1,products!$A$1:$G$1,0))</f>
        <v>Lib</v>
      </c>
      <c r="J248" t="str">
        <f>INDEX(products!$A$1:$G$49,MATCH(orders!$D248,products!$A$1:$A$49,0),MATCH($J$1,products!$A$1:$G$1,0))</f>
        <v>D</v>
      </c>
      <c r="K248" s="1">
        <f>INDEX(products!$A$1:$G$49,MATCH(orders!$D248,products!$A$1:$A$49,0),MATCH($K$1,products!$A$1:$G$1,0))</f>
        <v>1</v>
      </c>
      <c r="L248">
        <f>INDEX(products!$A$1:$G$49,MATCH(orders!$D248,products!$A$1:$A$49,0),MATCH($L$1,products!$A$1:$G$1,0))</f>
        <v>12.95</v>
      </c>
      <c r="M248">
        <f t="shared" si="10"/>
        <v>38.849999999999994</v>
      </c>
      <c r="N248" t="str">
        <f t="shared" si="11"/>
        <v>Liberica</v>
      </c>
      <c r="O248" t="str">
        <f t="shared" si="12"/>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_xlfn.XLOOKUP(C249,customers!$A$2:$A$1001,customers!$B$2:$B$1001,0)</f>
        <v>Delmar Beasant</v>
      </c>
      <c r="G249" s="2">
        <f>_xlfn.XLOOKUP(C249,customers!$A$2:$A$1001,customers!$C$2:$C$1001,0)</f>
        <v>0</v>
      </c>
      <c r="H249" s="2" t="str">
        <f>_xlfn.XLOOKUP(orders!C249,customers!$A$2:$A$1001,customers!$G$2:$G$1001,0)</f>
        <v>Ireland</v>
      </c>
      <c r="I249" t="str">
        <f>INDEX(products!$A$1:$G$49,MATCH(orders!$D249,products!$A$1:$A$49,0),MATCH($I$1,products!$A$1:$G$1,0))</f>
        <v>Rob</v>
      </c>
      <c r="J249" t="str">
        <f>INDEX(products!$A$1:$G$49,MATCH(orders!$D249,products!$A$1:$A$49,0),MATCH($J$1,products!$A$1:$G$1,0))</f>
        <v>L</v>
      </c>
      <c r="K249" s="1">
        <f>INDEX(products!$A$1:$G$49,MATCH(orders!$D249,products!$A$1:$A$49,0),MATCH($K$1,products!$A$1:$G$1,0))</f>
        <v>0.2</v>
      </c>
      <c r="L249">
        <f>INDEX(products!$A$1:$G$49,MATCH(orders!$D249,products!$A$1:$A$49,0),MATCH($L$1,products!$A$1:$G$1,0))</f>
        <v>3.5849999999999995</v>
      </c>
      <c r="M249">
        <f t="shared" si="10"/>
        <v>21.509999999999998</v>
      </c>
      <c r="N249" t="str">
        <f t="shared" si="11"/>
        <v>Robusta</v>
      </c>
      <c r="O249" t="str">
        <f t="shared" si="12"/>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_xlfn.XLOOKUP(C250,customers!$A$2:$A$1001,customers!$B$2:$B$1001,0)</f>
        <v>Lyn Entwistle</v>
      </c>
      <c r="G250" s="2" t="str">
        <f>_xlfn.XLOOKUP(C250,customers!$A$2:$A$1001,customers!$C$2:$C$1001,0)</f>
        <v>lentwistle6w@omniture.com</v>
      </c>
      <c r="H250" s="2" t="str">
        <f>_xlfn.XLOOKUP(orders!C250,customers!$A$2:$A$1001,customers!$G$2:$G$1001,0)</f>
        <v>United States</v>
      </c>
      <c r="I250" t="str">
        <f>INDEX(products!$A$1:$G$49,MATCH(orders!$D250,products!$A$1:$A$49,0),MATCH($I$1,products!$A$1:$G$1,0))</f>
        <v>Ara</v>
      </c>
      <c r="J250" t="str">
        <f>INDEX(products!$A$1:$G$49,MATCH(orders!$D250,products!$A$1:$A$49,0),MATCH($J$1,products!$A$1:$G$1,0))</f>
        <v>D</v>
      </c>
      <c r="K250" s="1">
        <f>INDEX(products!$A$1:$G$49,MATCH(orders!$D250,products!$A$1:$A$49,0),MATCH($K$1,products!$A$1:$G$1,0))</f>
        <v>1</v>
      </c>
      <c r="L250">
        <f>INDEX(products!$A$1:$G$49,MATCH(orders!$D250,products!$A$1:$A$49,0),MATCH($L$1,products!$A$1:$G$1,0))</f>
        <v>9.9499999999999993</v>
      </c>
      <c r="M250">
        <f t="shared" si="10"/>
        <v>9.9499999999999993</v>
      </c>
      <c r="N250" t="str">
        <f t="shared" si="11"/>
        <v>Arabica</v>
      </c>
      <c r="O250" t="str">
        <f t="shared" si="12"/>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_xlfn.XLOOKUP(C251,customers!$A$2:$A$1001,customers!$B$2:$B$1001,0)</f>
        <v>Zacharias Kiffe</v>
      </c>
      <c r="G251" s="2" t="str">
        <f>_xlfn.XLOOKUP(C251,customers!$A$2:$A$1001,customers!$C$2:$C$1001,0)</f>
        <v>zkiffe74@cyberchimps.com</v>
      </c>
      <c r="H251" s="2" t="str">
        <f>_xlfn.XLOOKUP(orders!C251,customers!$A$2:$A$1001,customers!$G$2:$G$1001,0)</f>
        <v>United States</v>
      </c>
      <c r="I251" t="str">
        <f>INDEX(products!$A$1:$G$49,MATCH(orders!$D251,products!$A$1:$A$49,0),MATCH($I$1,products!$A$1:$G$1,0))</f>
        <v>Lib</v>
      </c>
      <c r="J251" t="str">
        <f>INDEX(products!$A$1:$G$49,MATCH(orders!$D251,products!$A$1:$A$49,0),MATCH($J$1,products!$A$1:$G$1,0))</f>
        <v>L</v>
      </c>
      <c r="K251" s="1">
        <f>INDEX(products!$A$1:$G$49,MATCH(orders!$D251,products!$A$1:$A$49,0),MATCH($K$1,products!$A$1:$G$1,0))</f>
        <v>1</v>
      </c>
      <c r="L251">
        <f>INDEX(products!$A$1:$G$49,MATCH(orders!$D251,products!$A$1:$A$49,0),MATCH($L$1,products!$A$1:$G$1,0))</f>
        <v>15.85</v>
      </c>
      <c r="M251">
        <f t="shared" si="10"/>
        <v>15.85</v>
      </c>
      <c r="N251" t="str">
        <f t="shared" si="11"/>
        <v>Liberica</v>
      </c>
      <c r="O251" t="str">
        <f t="shared" si="12"/>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_xlfn.XLOOKUP(C252,customers!$A$2:$A$1001,customers!$B$2:$B$1001,0)</f>
        <v>Mercedes Acott</v>
      </c>
      <c r="G252" s="2" t="str">
        <f>_xlfn.XLOOKUP(C252,customers!$A$2:$A$1001,customers!$C$2:$C$1001,0)</f>
        <v>macott6y@pagesperso-orange.fr</v>
      </c>
      <c r="H252" s="2" t="str">
        <f>_xlfn.XLOOKUP(orders!C252,customers!$A$2:$A$1001,customers!$G$2:$G$1001,0)</f>
        <v>United States</v>
      </c>
      <c r="I252" t="str">
        <f>INDEX(products!$A$1:$G$49,MATCH(orders!$D252,products!$A$1:$A$49,0),MATCH($I$1,products!$A$1:$G$1,0))</f>
        <v>Rob</v>
      </c>
      <c r="J252" t="str">
        <f>INDEX(products!$A$1:$G$49,MATCH(orders!$D252,products!$A$1:$A$49,0),MATCH($J$1,products!$A$1:$G$1,0))</f>
        <v>M</v>
      </c>
      <c r="K252" s="1">
        <f>INDEX(products!$A$1:$G$49,MATCH(orders!$D252,products!$A$1:$A$49,0),MATCH($K$1,products!$A$1:$G$1,0))</f>
        <v>0.2</v>
      </c>
      <c r="L252">
        <f>INDEX(products!$A$1:$G$49,MATCH(orders!$D252,products!$A$1:$A$49,0),MATCH($L$1,products!$A$1:$G$1,0))</f>
        <v>2.9849999999999999</v>
      </c>
      <c r="M252">
        <f t="shared" si="10"/>
        <v>2.9849999999999999</v>
      </c>
      <c r="N252" t="str">
        <f t="shared" si="11"/>
        <v>Robusta</v>
      </c>
      <c r="O252" t="str">
        <f t="shared" si="12"/>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_xlfn.XLOOKUP(C253,customers!$A$2:$A$1001,customers!$B$2:$B$1001,0)</f>
        <v>Connor Heaviside</v>
      </c>
      <c r="G253" s="2" t="str">
        <f>_xlfn.XLOOKUP(C253,customers!$A$2:$A$1001,customers!$C$2:$C$1001,0)</f>
        <v>cheaviside6z@rediff.com</v>
      </c>
      <c r="H253" s="2" t="str">
        <f>_xlfn.XLOOKUP(orders!C253,customers!$A$2:$A$1001,customers!$G$2:$G$1001,0)</f>
        <v>United States</v>
      </c>
      <c r="I253" t="str">
        <f>INDEX(products!$A$1:$G$49,MATCH(orders!$D253,products!$A$1:$A$49,0),MATCH($I$1,products!$A$1:$G$1,0))</f>
        <v>Exc</v>
      </c>
      <c r="J253" t="str">
        <f>INDEX(products!$A$1:$G$49,MATCH(orders!$D253,products!$A$1:$A$49,0),MATCH($J$1,products!$A$1:$G$1,0))</f>
        <v>M</v>
      </c>
      <c r="K253" s="1">
        <f>INDEX(products!$A$1:$G$49,MATCH(orders!$D253,products!$A$1:$A$49,0),MATCH($K$1,products!$A$1:$G$1,0))</f>
        <v>1</v>
      </c>
      <c r="L253">
        <f>INDEX(products!$A$1:$G$49,MATCH(orders!$D253,products!$A$1:$A$49,0),MATCH($L$1,products!$A$1:$G$1,0))</f>
        <v>13.75</v>
      </c>
      <c r="M253">
        <f t="shared" si="10"/>
        <v>68.75</v>
      </c>
      <c r="N253" t="str">
        <f t="shared" si="11"/>
        <v>Excelsa</v>
      </c>
      <c r="O253" t="str">
        <f t="shared" si="12"/>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_xlfn.XLOOKUP(C254,customers!$A$2:$A$1001,customers!$B$2:$B$1001,0)</f>
        <v>Devy Bulbrook</v>
      </c>
      <c r="G254" s="2">
        <f>_xlfn.XLOOKUP(C254,customers!$A$2:$A$1001,customers!$C$2:$C$1001,0)</f>
        <v>0</v>
      </c>
      <c r="H254" s="2" t="str">
        <f>_xlfn.XLOOKUP(orders!C254,customers!$A$2:$A$1001,customers!$G$2:$G$1001,0)</f>
        <v>United States</v>
      </c>
      <c r="I254" t="str">
        <f>INDEX(products!$A$1:$G$49,MATCH(orders!$D254,products!$A$1:$A$49,0),MATCH($I$1,products!$A$1:$G$1,0))</f>
        <v>Ara</v>
      </c>
      <c r="J254" t="str">
        <f>INDEX(products!$A$1:$G$49,MATCH(orders!$D254,products!$A$1:$A$49,0),MATCH($J$1,products!$A$1:$G$1,0))</f>
        <v>D</v>
      </c>
      <c r="K254" s="1">
        <f>INDEX(products!$A$1:$G$49,MATCH(orders!$D254,products!$A$1:$A$49,0),MATCH($K$1,products!$A$1:$G$1,0))</f>
        <v>1</v>
      </c>
      <c r="L254">
        <f>INDEX(products!$A$1:$G$49,MATCH(orders!$D254,products!$A$1:$A$49,0),MATCH($L$1,products!$A$1:$G$1,0))</f>
        <v>9.9499999999999993</v>
      </c>
      <c r="M254">
        <f t="shared" si="10"/>
        <v>29.849999999999998</v>
      </c>
      <c r="N254" t="str">
        <f t="shared" si="11"/>
        <v>Arabica</v>
      </c>
      <c r="O254" t="str">
        <f t="shared" si="12"/>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_xlfn.XLOOKUP(C255,customers!$A$2:$A$1001,customers!$B$2:$B$1001,0)</f>
        <v>Leia Kernan</v>
      </c>
      <c r="G255" s="2" t="str">
        <f>_xlfn.XLOOKUP(C255,customers!$A$2:$A$1001,customers!$C$2:$C$1001,0)</f>
        <v>lkernan71@wsj.com</v>
      </c>
      <c r="H255" s="2" t="str">
        <f>_xlfn.XLOOKUP(orders!C255,customers!$A$2:$A$1001,customers!$G$2:$G$1001,0)</f>
        <v>United States</v>
      </c>
      <c r="I255" t="str">
        <f>INDEX(products!$A$1:$G$49,MATCH(orders!$D255,products!$A$1:$A$49,0),MATCH($I$1,products!$A$1:$G$1,0))</f>
        <v>Lib</v>
      </c>
      <c r="J255" t="str">
        <f>INDEX(products!$A$1:$G$49,MATCH(orders!$D255,products!$A$1:$A$49,0),MATCH($J$1,products!$A$1:$G$1,0))</f>
        <v>M</v>
      </c>
      <c r="K255" s="1">
        <f>INDEX(products!$A$1:$G$49,MATCH(orders!$D255,products!$A$1:$A$49,0),MATCH($K$1,products!$A$1:$G$1,0))</f>
        <v>1</v>
      </c>
      <c r="L255">
        <f>INDEX(products!$A$1:$G$49,MATCH(orders!$D255,products!$A$1:$A$49,0),MATCH($L$1,products!$A$1:$G$1,0))</f>
        <v>14.55</v>
      </c>
      <c r="M255">
        <f t="shared" si="10"/>
        <v>58.2</v>
      </c>
      <c r="N255" t="str">
        <f t="shared" si="11"/>
        <v>Liberica</v>
      </c>
      <c r="O255" t="str">
        <f t="shared" si="12"/>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_xlfn.XLOOKUP(C256,customers!$A$2:$A$1001,customers!$B$2:$B$1001,0)</f>
        <v>Rosaline McLae</v>
      </c>
      <c r="G256" s="2" t="str">
        <f>_xlfn.XLOOKUP(C256,customers!$A$2:$A$1001,customers!$C$2:$C$1001,0)</f>
        <v>rmclae72@dailymotion.com</v>
      </c>
      <c r="H256" s="2" t="str">
        <f>_xlfn.XLOOKUP(orders!C256,customers!$A$2:$A$1001,customers!$G$2:$G$1001,0)</f>
        <v>United Kingdom</v>
      </c>
      <c r="I256" t="str">
        <f>INDEX(products!$A$1:$G$49,MATCH(orders!$D256,products!$A$1:$A$49,0),MATCH($I$1,products!$A$1:$G$1,0))</f>
        <v>Rob</v>
      </c>
      <c r="J256" t="str">
        <f>INDEX(products!$A$1:$G$49,MATCH(orders!$D256,products!$A$1:$A$49,0),MATCH($J$1,products!$A$1:$G$1,0))</f>
        <v>L</v>
      </c>
      <c r="K256" s="1">
        <f>INDEX(products!$A$1:$G$49,MATCH(orders!$D256,products!$A$1:$A$49,0),MATCH($K$1,products!$A$1:$G$1,0))</f>
        <v>0.5</v>
      </c>
      <c r="L256">
        <f>INDEX(products!$A$1:$G$49,MATCH(orders!$D256,products!$A$1:$A$49,0),MATCH($L$1,products!$A$1:$G$1,0))</f>
        <v>7.169999999999999</v>
      </c>
      <c r="M256">
        <f t="shared" si="10"/>
        <v>28.679999999999996</v>
      </c>
      <c r="N256" t="str">
        <f t="shared" si="11"/>
        <v>Robusta</v>
      </c>
      <c r="O256" t="str">
        <f t="shared" si="12"/>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_xlfn.XLOOKUP(C257,customers!$A$2:$A$1001,customers!$B$2:$B$1001,0)</f>
        <v>Cleve Blowfelde</v>
      </c>
      <c r="G257" s="2" t="str">
        <f>_xlfn.XLOOKUP(C257,customers!$A$2:$A$1001,customers!$C$2:$C$1001,0)</f>
        <v>cblowfelde73@ustream.tv</v>
      </c>
      <c r="H257" s="2" t="str">
        <f>_xlfn.XLOOKUP(orders!C257,customers!$A$2:$A$1001,customers!$G$2:$G$1001,0)</f>
        <v>United States</v>
      </c>
      <c r="I257" t="str">
        <f>INDEX(products!$A$1:$G$49,MATCH(orders!$D257,products!$A$1:$A$49,0),MATCH($I$1,products!$A$1:$G$1,0))</f>
        <v>Rob</v>
      </c>
      <c r="J257" t="str">
        <f>INDEX(products!$A$1:$G$49,MATCH(orders!$D257,products!$A$1:$A$49,0),MATCH($J$1,products!$A$1:$G$1,0))</f>
        <v>L</v>
      </c>
      <c r="K257" s="1">
        <f>INDEX(products!$A$1:$G$49,MATCH(orders!$D257,products!$A$1:$A$49,0),MATCH($K$1,products!$A$1:$G$1,0))</f>
        <v>0.5</v>
      </c>
      <c r="L257">
        <f>INDEX(products!$A$1:$G$49,MATCH(orders!$D257,products!$A$1:$A$49,0),MATCH($L$1,products!$A$1:$G$1,0))</f>
        <v>7.169999999999999</v>
      </c>
      <c r="M257">
        <f t="shared" si="10"/>
        <v>21.509999999999998</v>
      </c>
      <c r="N257" t="str">
        <f t="shared" si="11"/>
        <v>Robusta</v>
      </c>
      <c r="O257" t="str">
        <f t="shared" si="12"/>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_xlfn.XLOOKUP(C258,customers!$A$2:$A$1001,customers!$B$2:$B$1001,0)</f>
        <v>Zacharias Kiffe</v>
      </c>
      <c r="G258" s="2" t="str">
        <f>_xlfn.XLOOKUP(C258,customers!$A$2:$A$1001,customers!$C$2:$C$1001,0)</f>
        <v>zkiffe74@cyberchimps.com</v>
      </c>
      <c r="H258" s="2" t="str">
        <f>_xlfn.XLOOKUP(orders!C258,customers!$A$2:$A$1001,customers!$G$2:$G$1001,0)</f>
        <v>United States</v>
      </c>
      <c r="I258" t="str">
        <f>INDEX(products!$A$1:$G$49,MATCH(orders!$D258,products!$A$1:$A$49,0),MATCH($I$1,products!$A$1:$G$1,0))</f>
        <v>Lib</v>
      </c>
      <c r="J258" t="str">
        <f>INDEX(products!$A$1:$G$49,MATCH(orders!$D258,products!$A$1:$A$49,0),MATCH($J$1,products!$A$1:$G$1,0))</f>
        <v>M</v>
      </c>
      <c r="K258" s="1">
        <f>INDEX(products!$A$1:$G$49,MATCH(orders!$D258,products!$A$1:$A$49,0),MATCH($K$1,products!$A$1:$G$1,0))</f>
        <v>0.5</v>
      </c>
      <c r="L258">
        <f>INDEX(products!$A$1:$G$49,MATCH(orders!$D258,products!$A$1:$A$49,0),MATCH($L$1,products!$A$1:$G$1,0))</f>
        <v>8.73</v>
      </c>
      <c r="M258">
        <f t="shared" si="10"/>
        <v>17.46</v>
      </c>
      <c r="N258" t="str">
        <f t="shared" si="11"/>
        <v>Liberica</v>
      </c>
      <c r="O258" t="str">
        <f t="shared" si="12"/>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_xlfn.XLOOKUP(C259,customers!$A$2:$A$1001,customers!$B$2:$B$1001,0)</f>
        <v>Denyse O'Calleran</v>
      </c>
      <c r="G259" s="2" t="str">
        <f>_xlfn.XLOOKUP(C259,customers!$A$2:$A$1001,customers!$C$2:$C$1001,0)</f>
        <v>docalleran75@ucla.edu</v>
      </c>
      <c r="H259" s="2" t="str">
        <f>_xlfn.XLOOKUP(orders!C259,customers!$A$2:$A$1001,customers!$G$2:$G$1001,0)</f>
        <v>United States</v>
      </c>
      <c r="I259" t="str">
        <f>INDEX(products!$A$1:$G$49,MATCH(orders!$D259,products!$A$1:$A$49,0),MATCH($I$1,products!$A$1:$G$1,0))</f>
        <v>Exc</v>
      </c>
      <c r="J259" t="str">
        <f>INDEX(products!$A$1:$G$49,MATCH(orders!$D259,products!$A$1:$A$49,0),MATCH($J$1,products!$A$1:$G$1,0))</f>
        <v>D</v>
      </c>
      <c r="K259" s="1">
        <f>INDEX(products!$A$1:$G$49,MATCH(orders!$D259,products!$A$1:$A$49,0),MATCH($K$1,products!$A$1:$G$1,0))</f>
        <v>2.5</v>
      </c>
      <c r="L259">
        <f>INDEX(products!$A$1:$G$49,MATCH(orders!$D259,products!$A$1:$A$49,0),MATCH($L$1,products!$A$1:$G$1,0))</f>
        <v>27.945</v>
      </c>
      <c r="M259">
        <f t="shared" ref="M259:M322" si="13">L259*E259</f>
        <v>27.945</v>
      </c>
      <c r="N259" t="str">
        <f t="shared" ref="N259:N322" si="14">IF(I259="Rob","Robusta",IF(I259="Exc","Excelsa",IF(I259="Ara","Arabica",IF(I259="Lib","Liberica",""))))</f>
        <v>Excelsa</v>
      </c>
      <c r="O259" t="str">
        <f t="shared" ref="O259:O322" si="15">IF(J259="M", "Medium", IF(J259="L","Light", IF(J259="D", "Dark","")))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_xlfn.XLOOKUP(C260,customers!$A$2:$A$1001,customers!$B$2:$B$1001,0)</f>
        <v>Cobby Cromwell</v>
      </c>
      <c r="G260" s="2" t="str">
        <f>_xlfn.XLOOKUP(C260,customers!$A$2:$A$1001,customers!$C$2:$C$1001,0)</f>
        <v>ccromwell76@desdev.cn</v>
      </c>
      <c r="H260" s="2" t="str">
        <f>_xlfn.XLOOKUP(orders!C260,customers!$A$2:$A$1001,customers!$G$2:$G$1001,0)</f>
        <v>United States</v>
      </c>
      <c r="I260" t="str">
        <f>INDEX(products!$A$1:$G$49,MATCH(orders!$D260,products!$A$1:$A$49,0),MATCH($I$1,products!$A$1:$G$1,0))</f>
        <v>Exc</v>
      </c>
      <c r="J260" t="str">
        <f>INDEX(products!$A$1:$G$49,MATCH(orders!$D260,products!$A$1:$A$49,0),MATCH($J$1,products!$A$1:$G$1,0))</f>
        <v>D</v>
      </c>
      <c r="K260" s="1">
        <f>INDEX(products!$A$1:$G$49,MATCH(orders!$D260,products!$A$1:$A$49,0),MATCH($K$1,products!$A$1:$G$1,0))</f>
        <v>2.5</v>
      </c>
      <c r="L260">
        <f>INDEX(products!$A$1:$G$49,MATCH(orders!$D260,products!$A$1:$A$49,0),MATCH($L$1,products!$A$1:$G$1,0))</f>
        <v>27.945</v>
      </c>
      <c r="M260">
        <f t="shared" si="13"/>
        <v>139.72499999999999</v>
      </c>
      <c r="N260" t="str">
        <f t="shared" si="14"/>
        <v>Excelsa</v>
      </c>
      <c r="O260" t="str">
        <f t="shared" si="15"/>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_xlfn.XLOOKUP(C261,customers!$A$2:$A$1001,customers!$B$2:$B$1001,0)</f>
        <v>Irv Hay</v>
      </c>
      <c r="G261" s="2" t="str">
        <f>_xlfn.XLOOKUP(C261,customers!$A$2:$A$1001,customers!$C$2:$C$1001,0)</f>
        <v>ihay77@lulu.com</v>
      </c>
      <c r="H261" s="2" t="str">
        <f>_xlfn.XLOOKUP(orders!C261,customers!$A$2:$A$1001,customers!$G$2:$G$1001,0)</f>
        <v>United Kingdom</v>
      </c>
      <c r="I261" t="str">
        <f>INDEX(products!$A$1:$G$49,MATCH(orders!$D261,products!$A$1:$A$49,0),MATCH($I$1,products!$A$1:$G$1,0))</f>
        <v>Rob</v>
      </c>
      <c r="J261" t="str">
        <f>INDEX(products!$A$1:$G$49,MATCH(orders!$D261,products!$A$1:$A$49,0),MATCH($J$1,products!$A$1:$G$1,0))</f>
        <v>M</v>
      </c>
      <c r="K261" s="1">
        <f>INDEX(products!$A$1:$G$49,MATCH(orders!$D261,products!$A$1:$A$49,0),MATCH($K$1,products!$A$1:$G$1,0))</f>
        <v>0.2</v>
      </c>
      <c r="L261">
        <f>INDEX(products!$A$1:$G$49,MATCH(orders!$D261,products!$A$1:$A$49,0),MATCH($L$1,products!$A$1:$G$1,0))</f>
        <v>2.9849999999999999</v>
      </c>
      <c r="M261">
        <f t="shared" si="13"/>
        <v>5.97</v>
      </c>
      <c r="N261" t="str">
        <f t="shared" si="14"/>
        <v>Robusta</v>
      </c>
      <c r="O261" t="str">
        <f t="shared" si="15"/>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_xlfn.XLOOKUP(C262,customers!$A$2:$A$1001,customers!$B$2:$B$1001,0)</f>
        <v>Tani Taffarello</v>
      </c>
      <c r="G262" s="2" t="str">
        <f>_xlfn.XLOOKUP(C262,customers!$A$2:$A$1001,customers!$C$2:$C$1001,0)</f>
        <v>ttaffarello78@sciencedaily.com</v>
      </c>
      <c r="H262" s="2" t="str">
        <f>_xlfn.XLOOKUP(orders!C262,customers!$A$2:$A$1001,customers!$G$2:$G$1001,0)</f>
        <v>United States</v>
      </c>
      <c r="I262" t="str">
        <f>INDEX(products!$A$1:$G$49,MATCH(orders!$D262,products!$A$1:$A$49,0),MATCH($I$1,products!$A$1:$G$1,0))</f>
        <v>Rob</v>
      </c>
      <c r="J262" t="str">
        <f>INDEX(products!$A$1:$G$49,MATCH(orders!$D262,products!$A$1:$A$49,0),MATCH($J$1,products!$A$1:$G$1,0))</f>
        <v>L</v>
      </c>
      <c r="K262" s="1">
        <f>INDEX(products!$A$1:$G$49,MATCH(orders!$D262,products!$A$1:$A$49,0),MATCH($K$1,products!$A$1:$G$1,0))</f>
        <v>2.5</v>
      </c>
      <c r="L262">
        <f>INDEX(products!$A$1:$G$49,MATCH(orders!$D262,products!$A$1:$A$49,0),MATCH($L$1,products!$A$1:$G$1,0))</f>
        <v>27.484999999999996</v>
      </c>
      <c r="M262">
        <f t="shared" si="13"/>
        <v>27.484999999999996</v>
      </c>
      <c r="N262" t="str">
        <f t="shared" si="14"/>
        <v>Robusta</v>
      </c>
      <c r="O262" t="str">
        <f t="shared" si="15"/>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_xlfn.XLOOKUP(C263,customers!$A$2:$A$1001,customers!$B$2:$B$1001,0)</f>
        <v>Monique Canty</v>
      </c>
      <c r="G263" s="2" t="str">
        <f>_xlfn.XLOOKUP(C263,customers!$A$2:$A$1001,customers!$C$2:$C$1001,0)</f>
        <v>mcanty79@jigsy.com</v>
      </c>
      <c r="H263" s="2" t="str">
        <f>_xlfn.XLOOKUP(orders!C263,customers!$A$2:$A$1001,customers!$G$2:$G$1001,0)</f>
        <v>United States</v>
      </c>
      <c r="I263" t="str">
        <f>INDEX(products!$A$1:$G$49,MATCH(orders!$D263,products!$A$1:$A$49,0),MATCH($I$1,products!$A$1:$G$1,0))</f>
        <v>Rob</v>
      </c>
      <c r="J263" t="str">
        <f>INDEX(products!$A$1:$G$49,MATCH(orders!$D263,products!$A$1:$A$49,0),MATCH($J$1,products!$A$1:$G$1,0))</f>
        <v>L</v>
      </c>
      <c r="K263" s="1">
        <f>INDEX(products!$A$1:$G$49,MATCH(orders!$D263,products!$A$1:$A$49,0),MATCH($K$1,products!$A$1:$G$1,0))</f>
        <v>1</v>
      </c>
      <c r="L263">
        <f>INDEX(products!$A$1:$G$49,MATCH(orders!$D263,products!$A$1:$A$49,0),MATCH($L$1,products!$A$1:$G$1,0))</f>
        <v>11.95</v>
      </c>
      <c r="M263">
        <f t="shared" si="13"/>
        <v>59.75</v>
      </c>
      <c r="N263" t="str">
        <f t="shared" si="14"/>
        <v>Robusta</v>
      </c>
      <c r="O263" t="str">
        <f t="shared" si="15"/>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_xlfn.XLOOKUP(C264,customers!$A$2:$A$1001,customers!$B$2:$B$1001,0)</f>
        <v>Javier Kopke</v>
      </c>
      <c r="G264" s="2" t="str">
        <f>_xlfn.XLOOKUP(C264,customers!$A$2:$A$1001,customers!$C$2:$C$1001,0)</f>
        <v>jkopke7a@auda.org.au</v>
      </c>
      <c r="H264" s="2" t="str">
        <f>_xlfn.XLOOKUP(orders!C264,customers!$A$2:$A$1001,customers!$G$2:$G$1001,0)</f>
        <v>United States</v>
      </c>
      <c r="I264" t="str">
        <f>INDEX(products!$A$1:$G$49,MATCH(orders!$D264,products!$A$1:$A$49,0),MATCH($I$1,products!$A$1:$G$1,0))</f>
        <v>Exc</v>
      </c>
      <c r="J264" t="str">
        <f>INDEX(products!$A$1:$G$49,MATCH(orders!$D264,products!$A$1:$A$49,0),MATCH($J$1,products!$A$1:$G$1,0))</f>
        <v>M</v>
      </c>
      <c r="K264" s="1">
        <f>INDEX(products!$A$1:$G$49,MATCH(orders!$D264,products!$A$1:$A$49,0),MATCH($K$1,products!$A$1:$G$1,0))</f>
        <v>1</v>
      </c>
      <c r="L264">
        <f>INDEX(products!$A$1:$G$49,MATCH(orders!$D264,products!$A$1:$A$49,0),MATCH($L$1,products!$A$1:$G$1,0))</f>
        <v>13.75</v>
      </c>
      <c r="M264">
        <f t="shared" si="13"/>
        <v>41.25</v>
      </c>
      <c r="N264" t="str">
        <f t="shared" si="14"/>
        <v>Excelsa</v>
      </c>
      <c r="O264" t="str">
        <f t="shared" si="15"/>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_xlfn.XLOOKUP(C265,customers!$A$2:$A$1001,customers!$B$2:$B$1001,0)</f>
        <v>Mar McIver</v>
      </c>
      <c r="G265" s="2">
        <f>_xlfn.XLOOKUP(C265,customers!$A$2:$A$1001,customers!$C$2:$C$1001,0)</f>
        <v>0</v>
      </c>
      <c r="H265" s="2" t="str">
        <f>_xlfn.XLOOKUP(orders!C265,customers!$A$2:$A$1001,customers!$G$2:$G$1001,0)</f>
        <v>United States</v>
      </c>
      <c r="I265" t="str">
        <f>INDEX(products!$A$1:$G$49,MATCH(orders!$D265,products!$A$1:$A$49,0),MATCH($I$1,products!$A$1:$G$1,0))</f>
        <v>Lib</v>
      </c>
      <c r="J265" t="str">
        <f>INDEX(products!$A$1:$G$49,MATCH(orders!$D265,products!$A$1:$A$49,0),MATCH($J$1,products!$A$1:$G$1,0))</f>
        <v>M</v>
      </c>
      <c r="K265" s="1">
        <f>INDEX(products!$A$1:$G$49,MATCH(orders!$D265,products!$A$1:$A$49,0),MATCH($K$1,products!$A$1:$G$1,0))</f>
        <v>2.5</v>
      </c>
      <c r="L265">
        <f>INDEX(products!$A$1:$G$49,MATCH(orders!$D265,products!$A$1:$A$49,0),MATCH($L$1,products!$A$1:$G$1,0))</f>
        <v>33.464999999999996</v>
      </c>
      <c r="M265">
        <f t="shared" si="13"/>
        <v>133.85999999999999</v>
      </c>
      <c r="N265" t="str">
        <f t="shared" si="14"/>
        <v>Liberica</v>
      </c>
      <c r="O265" t="str">
        <f t="shared" si="15"/>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_xlfn.XLOOKUP(C266,customers!$A$2:$A$1001,customers!$B$2:$B$1001,0)</f>
        <v>Arabella Fransewich</v>
      </c>
      <c r="G266" s="2">
        <f>_xlfn.XLOOKUP(C266,customers!$A$2:$A$1001,customers!$C$2:$C$1001,0)</f>
        <v>0</v>
      </c>
      <c r="H266" s="2" t="str">
        <f>_xlfn.XLOOKUP(orders!C266,customers!$A$2:$A$1001,customers!$G$2:$G$1001,0)</f>
        <v>Ireland</v>
      </c>
      <c r="I266" t="str">
        <f>INDEX(products!$A$1:$G$49,MATCH(orders!$D266,products!$A$1:$A$49,0),MATCH($I$1,products!$A$1:$G$1,0))</f>
        <v>Rob</v>
      </c>
      <c r="J266" t="str">
        <f>INDEX(products!$A$1:$G$49,MATCH(orders!$D266,products!$A$1:$A$49,0),MATCH($J$1,products!$A$1:$G$1,0))</f>
        <v>L</v>
      </c>
      <c r="K266" s="1">
        <f>INDEX(products!$A$1:$G$49,MATCH(orders!$D266,products!$A$1:$A$49,0),MATCH($K$1,products!$A$1:$G$1,0))</f>
        <v>1</v>
      </c>
      <c r="L266">
        <f>INDEX(products!$A$1:$G$49,MATCH(orders!$D266,products!$A$1:$A$49,0),MATCH($L$1,products!$A$1:$G$1,0))</f>
        <v>11.95</v>
      </c>
      <c r="M266">
        <f t="shared" si="13"/>
        <v>59.75</v>
      </c>
      <c r="N266" t="str">
        <f t="shared" si="14"/>
        <v>Robusta</v>
      </c>
      <c r="O266" t="str">
        <f t="shared" si="15"/>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_xlfn.XLOOKUP(C267,customers!$A$2:$A$1001,customers!$B$2:$B$1001,0)</f>
        <v>Violette Hellmore</v>
      </c>
      <c r="G267" s="2" t="str">
        <f>_xlfn.XLOOKUP(C267,customers!$A$2:$A$1001,customers!$C$2:$C$1001,0)</f>
        <v>vhellmore7d@bbc.co.uk</v>
      </c>
      <c r="H267" s="2" t="str">
        <f>_xlfn.XLOOKUP(orders!C267,customers!$A$2:$A$1001,customers!$G$2:$G$1001,0)</f>
        <v>United States</v>
      </c>
      <c r="I267" t="str">
        <f>INDEX(products!$A$1:$G$49,MATCH(orders!$D267,products!$A$1:$A$49,0),MATCH($I$1,products!$A$1:$G$1,0))</f>
        <v>Ara</v>
      </c>
      <c r="J267" t="str">
        <f>INDEX(products!$A$1:$G$49,MATCH(orders!$D267,products!$A$1:$A$49,0),MATCH($J$1,products!$A$1:$G$1,0))</f>
        <v>D</v>
      </c>
      <c r="K267" s="1">
        <f>INDEX(products!$A$1:$G$49,MATCH(orders!$D267,products!$A$1:$A$49,0),MATCH($K$1,products!$A$1:$G$1,0))</f>
        <v>0.5</v>
      </c>
      <c r="L267">
        <f>INDEX(products!$A$1:$G$49,MATCH(orders!$D267,products!$A$1:$A$49,0),MATCH($L$1,products!$A$1:$G$1,0))</f>
        <v>5.97</v>
      </c>
      <c r="M267">
        <f t="shared" si="13"/>
        <v>5.97</v>
      </c>
      <c r="N267" t="str">
        <f t="shared" si="14"/>
        <v>Arabica</v>
      </c>
      <c r="O267" t="str">
        <f t="shared" si="15"/>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_xlfn.XLOOKUP(C268,customers!$A$2:$A$1001,customers!$B$2:$B$1001,0)</f>
        <v>Myles Seawright</v>
      </c>
      <c r="G268" s="2" t="str">
        <f>_xlfn.XLOOKUP(C268,customers!$A$2:$A$1001,customers!$C$2:$C$1001,0)</f>
        <v>mseawright7e@nbcnews.com</v>
      </c>
      <c r="H268" s="2" t="str">
        <f>_xlfn.XLOOKUP(orders!C268,customers!$A$2:$A$1001,customers!$G$2:$G$1001,0)</f>
        <v>United Kingdom</v>
      </c>
      <c r="I268" t="str">
        <f>INDEX(products!$A$1:$G$49,MATCH(orders!$D268,products!$A$1:$A$49,0),MATCH($I$1,products!$A$1:$G$1,0))</f>
        <v>Exc</v>
      </c>
      <c r="J268" t="str">
        <f>INDEX(products!$A$1:$G$49,MATCH(orders!$D268,products!$A$1:$A$49,0),MATCH($J$1,products!$A$1:$G$1,0))</f>
        <v>D</v>
      </c>
      <c r="K268" s="1">
        <f>INDEX(products!$A$1:$G$49,MATCH(orders!$D268,products!$A$1:$A$49,0),MATCH($K$1,products!$A$1:$G$1,0))</f>
        <v>1</v>
      </c>
      <c r="L268">
        <f>INDEX(products!$A$1:$G$49,MATCH(orders!$D268,products!$A$1:$A$49,0),MATCH($L$1,products!$A$1:$G$1,0))</f>
        <v>12.15</v>
      </c>
      <c r="M268">
        <f t="shared" si="13"/>
        <v>24.3</v>
      </c>
      <c r="N268" t="str">
        <f t="shared" si="14"/>
        <v>Excelsa</v>
      </c>
      <c r="O268" t="str">
        <f t="shared" si="15"/>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_xlfn.XLOOKUP(C269,customers!$A$2:$A$1001,customers!$B$2:$B$1001,0)</f>
        <v>Silvana Northeast</v>
      </c>
      <c r="G269" s="2" t="str">
        <f>_xlfn.XLOOKUP(C269,customers!$A$2:$A$1001,customers!$C$2:$C$1001,0)</f>
        <v>snortheast7f@mashable.com</v>
      </c>
      <c r="H269" s="2" t="str">
        <f>_xlfn.XLOOKUP(orders!C269,customers!$A$2:$A$1001,customers!$G$2:$G$1001,0)</f>
        <v>United States</v>
      </c>
      <c r="I269" t="str">
        <f>INDEX(products!$A$1:$G$49,MATCH(orders!$D269,products!$A$1:$A$49,0),MATCH($I$1,products!$A$1:$G$1,0))</f>
        <v>Exc</v>
      </c>
      <c r="J269" t="str">
        <f>INDEX(products!$A$1:$G$49,MATCH(orders!$D269,products!$A$1:$A$49,0),MATCH($J$1,products!$A$1:$G$1,0))</f>
        <v>D</v>
      </c>
      <c r="K269" s="1">
        <f>INDEX(products!$A$1:$G$49,MATCH(orders!$D269,products!$A$1:$A$49,0),MATCH($K$1,products!$A$1:$G$1,0))</f>
        <v>0.2</v>
      </c>
      <c r="L269">
        <f>INDEX(products!$A$1:$G$49,MATCH(orders!$D269,products!$A$1:$A$49,0),MATCH($L$1,products!$A$1:$G$1,0))</f>
        <v>3.645</v>
      </c>
      <c r="M269">
        <f t="shared" si="13"/>
        <v>21.87</v>
      </c>
      <c r="N269" t="str">
        <f t="shared" si="14"/>
        <v>Excelsa</v>
      </c>
      <c r="O269" t="str">
        <f t="shared" si="15"/>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_xlfn.XLOOKUP(C270,customers!$A$2:$A$1001,customers!$B$2:$B$1001,0)</f>
        <v>Anselma Attwater</v>
      </c>
      <c r="G270" s="2" t="str">
        <f>_xlfn.XLOOKUP(C270,customers!$A$2:$A$1001,customers!$C$2:$C$1001,0)</f>
        <v>aattwater5u@wikia.com</v>
      </c>
      <c r="H270" s="2" t="str">
        <f>_xlfn.XLOOKUP(orders!C270,customers!$A$2:$A$1001,customers!$G$2:$G$1001,0)</f>
        <v>United States</v>
      </c>
      <c r="I270" t="str">
        <f>INDEX(products!$A$1:$G$49,MATCH(orders!$D270,products!$A$1:$A$49,0),MATCH($I$1,products!$A$1:$G$1,0))</f>
        <v>Ara</v>
      </c>
      <c r="J270" t="str">
        <f>INDEX(products!$A$1:$G$49,MATCH(orders!$D270,products!$A$1:$A$49,0),MATCH($J$1,products!$A$1:$G$1,0))</f>
        <v>D</v>
      </c>
      <c r="K270" s="1">
        <f>INDEX(products!$A$1:$G$49,MATCH(orders!$D270,products!$A$1:$A$49,0),MATCH($K$1,products!$A$1:$G$1,0))</f>
        <v>1</v>
      </c>
      <c r="L270">
        <f>INDEX(products!$A$1:$G$49,MATCH(orders!$D270,products!$A$1:$A$49,0),MATCH($L$1,products!$A$1:$G$1,0))</f>
        <v>9.9499999999999993</v>
      </c>
      <c r="M270">
        <f t="shared" si="13"/>
        <v>19.899999999999999</v>
      </c>
      <c r="N270" t="str">
        <f t="shared" si="14"/>
        <v>Arabica</v>
      </c>
      <c r="O270" t="str">
        <f t="shared" si="15"/>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_xlfn.XLOOKUP(C271,customers!$A$2:$A$1001,customers!$B$2:$B$1001,0)</f>
        <v>Monica Fearon</v>
      </c>
      <c r="G271" s="2" t="str">
        <f>_xlfn.XLOOKUP(C271,customers!$A$2:$A$1001,customers!$C$2:$C$1001,0)</f>
        <v>mfearon7h@reverbnation.com</v>
      </c>
      <c r="H271" s="2" t="str">
        <f>_xlfn.XLOOKUP(orders!C271,customers!$A$2:$A$1001,customers!$G$2:$G$1001,0)</f>
        <v>United States</v>
      </c>
      <c r="I271" t="str">
        <f>INDEX(products!$A$1:$G$49,MATCH(orders!$D271,products!$A$1:$A$49,0),MATCH($I$1,products!$A$1:$G$1,0))</f>
        <v>Ara</v>
      </c>
      <c r="J271" t="str">
        <f>INDEX(products!$A$1:$G$49,MATCH(orders!$D271,products!$A$1:$A$49,0),MATCH($J$1,products!$A$1:$G$1,0))</f>
        <v>D</v>
      </c>
      <c r="K271" s="1">
        <f>INDEX(products!$A$1:$G$49,MATCH(orders!$D271,products!$A$1:$A$49,0),MATCH($K$1,products!$A$1:$G$1,0))</f>
        <v>0.2</v>
      </c>
      <c r="L271">
        <f>INDEX(products!$A$1:$G$49,MATCH(orders!$D271,products!$A$1:$A$49,0),MATCH($L$1,products!$A$1:$G$1,0))</f>
        <v>2.9849999999999999</v>
      </c>
      <c r="M271">
        <f t="shared" si="13"/>
        <v>5.97</v>
      </c>
      <c r="N271" t="str">
        <f t="shared" si="14"/>
        <v>Arabica</v>
      </c>
      <c r="O271" t="str">
        <f t="shared" si="15"/>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_xlfn.XLOOKUP(C272,customers!$A$2:$A$1001,customers!$B$2:$B$1001,0)</f>
        <v>Barney Chisnell</v>
      </c>
      <c r="G272" s="2">
        <f>_xlfn.XLOOKUP(C272,customers!$A$2:$A$1001,customers!$C$2:$C$1001,0)</f>
        <v>0</v>
      </c>
      <c r="H272" s="2" t="str">
        <f>_xlfn.XLOOKUP(orders!C272,customers!$A$2:$A$1001,customers!$G$2:$G$1001,0)</f>
        <v>Ireland</v>
      </c>
      <c r="I272" t="str">
        <f>INDEX(products!$A$1:$G$49,MATCH(orders!$D272,products!$A$1:$A$49,0),MATCH($I$1,products!$A$1:$G$1,0))</f>
        <v>Exc</v>
      </c>
      <c r="J272" t="str">
        <f>INDEX(products!$A$1:$G$49,MATCH(orders!$D272,products!$A$1:$A$49,0),MATCH($J$1,products!$A$1:$G$1,0))</f>
        <v>D</v>
      </c>
      <c r="K272" s="1">
        <f>INDEX(products!$A$1:$G$49,MATCH(orders!$D272,products!$A$1:$A$49,0),MATCH($K$1,products!$A$1:$G$1,0))</f>
        <v>0.5</v>
      </c>
      <c r="L272">
        <f>INDEX(products!$A$1:$G$49,MATCH(orders!$D272,products!$A$1:$A$49,0),MATCH($L$1,products!$A$1:$G$1,0))</f>
        <v>7.29</v>
      </c>
      <c r="M272">
        <f t="shared" si="13"/>
        <v>7.29</v>
      </c>
      <c r="N272" t="str">
        <f t="shared" si="14"/>
        <v>Excelsa</v>
      </c>
      <c r="O272" t="str">
        <f t="shared" si="15"/>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_xlfn.XLOOKUP(C273,customers!$A$2:$A$1001,customers!$B$2:$B$1001,0)</f>
        <v>Jasper Sisneros</v>
      </c>
      <c r="G273" s="2" t="str">
        <f>_xlfn.XLOOKUP(C273,customers!$A$2:$A$1001,customers!$C$2:$C$1001,0)</f>
        <v>jsisneros7j@a8.net</v>
      </c>
      <c r="H273" s="2" t="str">
        <f>_xlfn.XLOOKUP(orders!C273,customers!$A$2:$A$1001,customers!$G$2:$G$1001,0)</f>
        <v>United States</v>
      </c>
      <c r="I273" t="str">
        <f>INDEX(products!$A$1:$G$49,MATCH(orders!$D273,products!$A$1:$A$49,0),MATCH($I$1,products!$A$1:$G$1,0))</f>
        <v>Ara</v>
      </c>
      <c r="J273" t="str">
        <f>INDEX(products!$A$1:$G$49,MATCH(orders!$D273,products!$A$1:$A$49,0),MATCH($J$1,products!$A$1:$G$1,0))</f>
        <v>D</v>
      </c>
      <c r="K273" s="1">
        <f>INDEX(products!$A$1:$G$49,MATCH(orders!$D273,products!$A$1:$A$49,0),MATCH($K$1,products!$A$1:$G$1,0))</f>
        <v>0.2</v>
      </c>
      <c r="L273">
        <f>INDEX(products!$A$1:$G$49,MATCH(orders!$D273,products!$A$1:$A$49,0),MATCH($L$1,products!$A$1:$G$1,0))</f>
        <v>2.9849999999999999</v>
      </c>
      <c r="M273">
        <f t="shared" si="13"/>
        <v>11.94</v>
      </c>
      <c r="N273" t="str">
        <f t="shared" si="14"/>
        <v>Arabica</v>
      </c>
      <c r="O273" t="str">
        <f t="shared" si="15"/>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_xlfn.XLOOKUP(C274,customers!$A$2:$A$1001,customers!$B$2:$B$1001,0)</f>
        <v>Zachariah Carlson</v>
      </c>
      <c r="G274" s="2" t="str">
        <f>_xlfn.XLOOKUP(C274,customers!$A$2:$A$1001,customers!$C$2:$C$1001,0)</f>
        <v>zcarlson7k@bigcartel.com</v>
      </c>
      <c r="H274" s="2" t="str">
        <f>_xlfn.XLOOKUP(orders!C274,customers!$A$2:$A$1001,customers!$G$2:$G$1001,0)</f>
        <v>Ireland</v>
      </c>
      <c r="I274" t="str">
        <f>INDEX(products!$A$1:$G$49,MATCH(orders!$D274,products!$A$1:$A$49,0),MATCH($I$1,products!$A$1:$G$1,0))</f>
        <v>Rob</v>
      </c>
      <c r="J274" t="str">
        <f>INDEX(products!$A$1:$G$49,MATCH(orders!$D274,products!$A$1:$A$49,0),MATCH($J$1,products!$A$1:$G$1,0))</f>
        <v>L</v>
      </c>
      <c r="K274" s="1">
        <f>INDEX(products!$A$1:$G$49,MATCH(orders!$D274,products!$A$1:$A$49,0),MATCH($K$1,products!$A$1:$G$1,0))</f>
        <v>1</v>
      </c>
      <c r="L274">
        <f>INDEX(products!$A$1:$G$49,MATCH(orders!$D274,products!$A$1:$A$49,0),MATCH($L$1,products!$A$1:$G$1,0))</f>
        <v>11.95</v>
      </c>
      <c r="M274">
        <f t="shared" si="13"/>
        <v>71.699999999999989</v>
      </c>
      <c r="N274" t="str">
        <f t="shared" si="14"/>
        <v>Robusta</v>
      </c>
      <c r="O274" t="str">
        <f t="shared" si="15"/>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_xlfn.XLOOKUP(C275,customers!$A$2:$A$1001,customers!$B$2:$B$1001,0)</f>
        <v>Warner Maddox</v>
      </c>
      <c r="G275" s="2" t="str">
        <f>_xlfn.XLOOKUP(C275,customers!$A$2:$A$1001,customers!$C$2:$C$1001,0)</f>
        <v>wmaddox7l@timesonline.co.uk</v>
      </c>
      <c r="H275" s="2" t="str">
        <f>_xlfn.XLOOKUP(orders!C275,customers!$A$2:$A$1001,customers!$G$2:$G$1001,0)</f>
        <v>United States</v>
      </c>
      <c r="I275" t="str">
        <f>INDEX(products!$A$1:$G$49,MATCH(orders!$D275,products!$A$1:$A$49,0),MATCH($I$1,products!$A$1:$G$1,0))</f>
        <v>Ara</v>
      </c>
      <c r="J275" t="str">
        <f>INDEX(products!$A$1:$G$49,MATCH(orders!$D275,products!$A$1:$A$49,0),MATCH($J$1,products!$A$1:$G$1,0))</f>
        <v>L</v>
      </c>
      <c r="K275" s="1">
        <f>INDEX(products!$A$1:$G$49,MATCH(orders!$D275,products!$A$1:$A$49,0),MATCH($K$1,products!$A$1:$G$1,0))</f>
        <v>0.2</v>
      </c>
      <c r="L275">
        <f>INDEX(products!$A$1:$G$49,MATCH(orders!$D275,products!$A$1:$A$49,0),MATCH($L$1,products!$A$1:$G$1,0))</f>
        <v>3.8849999999999998</v>
      </c>
      <c r="M275">
        <f t="shared" si="13"/>
        <v>7.77</v>
      </c>
      <c r="N275" t="str">
        <f t="shared" si="14"/>
        <v>Arabica</v>
      </c>
      <c r="O275" t="str">
        <f t="shared" si="15"/>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_xlfn.XLOOKUP(C276,customers!$A$2:$A$1001,customers!$B$2:$B$1001,0)</f>
        <v>Donnie Hedlestone</v>
      </c>
      <c r="G276" s="2" t="str">
        <f>_xlfn.XLOOKUP(C276,customers!$A$2:$A$1001,customers!$C$2:$C$1001,0)</f>
        <v>dhedlestone7m@craigslist.org</v>
      </c>
      <c r="H276" s="2" t="str">
        <f>_xlfn.XLOOKUP(orders!C276,customers!$A$2:$A$1001,customers!$G$2:$G$1001,0)</f>
        <v>United States</v>
      </c>
      <c r="I276" t="str">
        <f>INDEX(products!$A$1:$G$49,MATCH(orders!$D276,products!$A$1:$A$49,0),MATCH($I$1,products!$A$1:$G$1,0))</f>
        <v>Ara</v>
      </c>
      <c r="J276" t="str">
        <f>INDEX(products!$A$1:$G$49,MATCH(orders!$D276,products!$A$1:$A$49,0),MATCH($J$1,products!$A$1:$G$1,0))</f>
        <v>M</v>
      </c>
      <c r="K276" s="1">
        <f>INDEX(products!$A$1:$G$49,MATCH(orders!$D276,products!$A$1:$A$49,0),MATCH($K$1,products!$A$1:$G$1,0))</f>
        <v>2.5</v>
      </c>
      <c r="L276">
        <f>INDEX(products!$A$1:$G$49,MATCH(orders!$D276,products!$A$1:$A$49,0),MATCH($L$1,products!$A$1:$G$1,0))</f>
        <v>25.874999999999996</v>
      </c>
      <c r="M276">
        <f t="shared" si="13"/>
        <v>25.874999999999996</v>
      </c>
      <c r="N276" t="str">
        <f t="shared" si="14"/>
        <v>Arabica</v>
      </c>
      <c r="O276" t="str">
        <f t="shared" si="15"/>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_xlfn.XLOOKUP(C277,customers!$A$2:$A$1001,customers!$B$2:$B$1001,0)</f>
        <v>Teddi Crowthe</v>
      </c>
      <c r="G277" s="2" t="str">
        <f>_xlfn.XLOOKUP(C277,customers!$A$2:$A$1001,customers!$C$2:$C$1001,0)</f>
        <v>tcrowthe7n@europa.eu</v>
      </c>
      <c r="H277" s="2" t="str">
        <f>_xlfn.XLOOKUP(orders!C277,customers!$A$2:$A$1001,customers!$G$2:$G$1001,0)</f>
        <v>United States</v>
      </c>
      <c r="I277" t="str">
        <f>INDEX(products!$A$1:$G$49,MATCH(orders!$D277,products!$A$1:$A$49,0),MATCH($I$1,products!$A$1:$G$1,0))</f>
        <v>Exc</v>
      </c>
      <c r="J277" t="str">
        <f>INDEX(products!$A$1:$G$49,MATCH(orders!$D277,products!$A$1:$A$49,0),MATCH($J$1,products!$A$1:$G$1,0))</f>
        <v>L</v>
      </c>
      <c r="K277" s="1">
        <f>INDEX(products!$A$1:$G$49,MATCH(orders!$D277,products!$A$1:$A$49,0),MATCH($K$1,products!$A$1:$G$1,0))</f>
        <v>2.5</v>
      </c>
      <c r="L277">
        <f>INDEX(products!$A$1:$G$49,MATCH(orders!$D277,products!$A$1:$A$49,0),MATCH($L$1,products!$A$1:$G$1,0))</f>
        <v>34.154999999999994</v>
      </c>
      <c r="M277">
        <f t="shared" si="13"/>
        <v>204.92999999999995</v>
      </c>
      <c r="N277" t="str">
        <f t="shared" si="14"/>
        <v>Excelsa</v>
      </c>
      <c r="O277" t="str">
        <f t="shared" si="15"/>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_xlfn.XLOOKUP(C278,customers!$A$2:$A$1001,customers!$B$2:$B$1001,0)</f>
        <v>Dorelia Bury</v>
      </c>
      <c r="G278" s="2" t="str">
        <f>_xlfn.XLOOKUP(C278,customers!$A$2:$A$1001,customers!$C$2:$C$1001,0)</f>
        <v>dbury7o@tinyurl.com</v>
      </c>
      <c r="H278" s="2" t="str">
        <f>_xlfn.XLOOKUP(orders!C278,customers!$A$2:$A$1001,customers!$G$2:$G$1001,0)</f>
        <v>Ireland</v>
      </c>
      <c r="I278" t="str">
        <f>INDEX(products!$A$1:$G$49,MATCH(orders!$D278,products!$A$1:$A$49,0),MATCH($I$1,products!$A$1:$G$1,0))</f>
        <v>Rob</v>
      </c>
      <c r="J278" t="str">
        <f>INDEX(products!$A$1:$G$49,MATCH(orders!$D278,products!$A$1:$A$49,0),MATCH($J$1,products!$A$1:$G$1,0))</f>
        <v>L</v>
      </c>
      <c r="K278" s="1">
        <f>INDEX(products!$A$1:$G$49,MATCH(orders!$D278,products!$A$1:$A$49,0),MATCH($K$1,products!$A$1:$G$1,0))</f>
        <v>2.5</v>
      </c>
      <c r="L278">
        <f>INDEX(products!$A$1:$G$49,MATCH(orders!$D278,products!$A$1:$A$49,0),MATCH($L$1,products!$A$1:$G$1,0))</f>
        <v>27.484999999999996</v>
      </c>
      <c r="M278">
        <f t="shared" si="13"/>
        <v>109.93999999999998</v>
      </c>
      <c r="N278" t="str">
        <f t="shared" si="14"/>
        <v>Robusta</v>
      </c>
      <c r="O278" t="str">
        <f t="shared" si="15"/>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_xlfn.XLOOKUP(C279,customers!$A$2:$A$1001,customers!$B$2:$B$1001,0)</f>
        <v>Gussy Broadbear</v>
      </c>
      <c r="G279" s="2" t="str">
        <f>_xlfn.XLOOKUP(C279,customers!$A$2:$A$1001,customers!$C$2:$C$1001,0)</f>
        <v>gbroadbear7p@omniture.com</v>
      </c>
      <c r="H279" s="2" t="str">
        <f>_xlfn.XLOOKUP(orders!C279,customers!$A$2:$A$1001,customers!$G$2:$G$1001,0)</f>
        <v>United States</v>
      </c>
      <c r="I279" t="str">
        <f>INDEX(products!$A$1:$G$49,MATCH(orders!$D279,products!$A$1:$A$49,0),MATCH($I$1,products!$A$1:$G$1,0))</f>
        <v>Exc</v>
      </c>
      <c r="J279" t="str">
        <f>INDEX(products!$A$1:$G$49,MATCH(orders!$D279,products!$A$1:$A$49,0),MATCH($J$1,products!$A$1:$G$1,0))</f>
        <v>L</v>
      </c>
      <c r="K279" s="1">
        <f>INDEX(products!$A$1:$G$49,MATCH(orders!$D279,products!$A$1:$A$49,0),MATCH($K$1,products!$A$1:$G$1,0))</f>
        <v>1</v>
      </c>
      <c r="L279">
        <f>INDEX(products!$A$1:$G$49,MATCH(orders!$D279,products!$A$1:$A$49,0),MATCH($L$1,products!$A$1:$G$1,0))</f>
        <v>14.85</v>
      </c>
      <c r="M279">
        <f t="shared" si="13"/>
        <v>89.1</v>
      </c>
      <c r="N279" t="str">
        <f t="shared" si="14"/>
        <v>Excelsa</v>
      </c>
      <c r="O279" t="str">
        <f t="shared" si="15"/>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_xlfn.XLOOKUP(C280,customers!$A$2:$A$1001,customers!$B$2:$B$1001,0)</f>
        <v>Emlynne Palfrey</v>
      </c>
      <c r="G280" s="2" t="str">
        <f>_xlfn.XLOOKUP(C280,customers!$A$2:$A$1001,customers!$C$2:$C$1001,0)</f>
        <v>epalfrey7q@devhub.com</v>
      </c>
      <c r="H280" s="2" t="str">
        <f>_xlfn.XLOOKUP(orders!C280,customers!$A$2:$A$1001,customers!$G$2:$G$1001,0)</f>
        <v>United States</v>
      </c>
      <c r="I280" t="str">
        <f>INDEX(products!$A$1:$G$49,MATCH(orders!$D280,products!$A$1:$A$49,0),MATCH($I$1,products!$A$1:$G$1,0))</f>
        <v>Ara</v>
      </c>
      <c r="J280" t="str">
        <f>INDEX(products!$A$1:$G$49,MATCH(orders!$D280,products!$A$1:$A$49,0),MATCH($J$1,products!$A$1:$G$1,0))</f>
        <v>L</v>
      </c>
      <c r="K280" s="1">
        <f>INDEX(products!$A$1:$G$49,MATCH(orders!$D280,products!$A$1:$A$49,0),MATCH($K$1,products!$A$1:$G$1,0))</f>
        <v>0.2</v>
      </c>
      <c r="L280">
        <f>INDEX(products!$A$1:$G$49,MATCH(orders!$D280,products!$A$1:$A$49,0),MATCH($L$1,products!$A$1:$G$1,0))</f>
        <v>3.8849999999999998</v>
      </c>
      <c r="M280">
        <f t="shared" si="13"/>
        <v>7.77</v>
      </c>
      <c r="N280" t="str">
        <f t="shared" si="14"/>
        <v>Arabica</v>
      </c>
      <c r="O280" t="str">
        <f t="shared" si="15"/>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_xlfn.XLOOKUP(C281,customers!$A$2:$A$1001,customers!$B$2:$B$1001,0)</f>
        <v>Parsifal Metrick</v>
      </c>
      <c r="G281" s="2" t="str">
        <f>_xlfn.XLOOKUP(C281,customers!$A$2:$A$1001,customers!$C$2:$C$1001,0)</f>
        <v>pmetrick7r@rakuten.co.jp</v>
      </c>
      <c r="H281" s="2" t="str">
        <f>_xlfn.XLOOKUP(orders!C281,customers!$A$2:$A$1001,customers!$G$2:$G$1001,0)</f>
        <v>United States</v>
      </c>
      <c r="I281" t="str">
        <f>INDEX(products!$A$1:$G$49,MATCH(orders!$D281,products!$A$1:$A$49,0),MATCH($I$1,products!$A$1:$G$1,0))</f>
        <v>Lib</v>
      </c>
      <c r="J281" t="str">
        <f>INDEX(products!$A$1:$G$49,MATCH(orders!$D281,products!$A$1:$A$49,0),MATCH($J$1,products!$A$1:$G$1,0))</f>
        <v>M</v>
      </c>
      <c r="K281" s="1">
        <f>INDEX(products!$A$1:$G$49,MATCH(orders!$D281,products!$A$1:$A$49,0),MATCH($K$1,products!$A$1:$G$1,0))</f>
        <v>2.5</v>
      </c>
      <c r="L281">
        <f>INDEX(products!$A$1:$G$49,MATCH(orders!$D281,products!$A$1:$A$49,0),MATCH($L$1,products!$A$1:$G$1,0))</f>
        <v>33.464999999999996</v>
      </c>
      <c r="M281">
        <f t="shared" si="13"/>
        <v>33.464999999999996</v>
      </c>
      <c r="N281" t="str">
        <f t="shared" si="14"/>
        <v>Liberica</v>
      </c>
      <c r="O281" t="str">
        <f t="shared" si="15"/>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_xlfn.XLOOKUP(C282,customers!$A$2:$A$1001,customers!$B$2:$B$1001,0)</f>
        <v>Christopher Grieveson</v>
      </c>
      <c r="G282" s="2">
        <f>_xlfn.XLOOKUP(C282,customers!$A$2:$A$1001,customers!$C$2:$C$1001,0)</f>
        <v>0</v>
      </c>
      <c r="H282" s="2" t="str">
        <f>_xlfn.XLOOKUP(orders!C282,customers!$A$2:$A$1001,customers!$G$2:$G$1001,0)</f>
        <v>United States</v>
      </c>
      <c r="I282" t="str">
        <f>INDEX(products!$A$1:$G$49,MATCH(orders!$D282,products!$A$1:$A$49,0),MATCH($I$1,products!$A$1:$G$1,0))</f>
        <v>Exc</v>
      </c>
      <c r="J282" t="str">
        <f>INDEX(products!$A$1:$G$49,MATCH(orders!$D282,products!$A$1:$A$49,0),MATCH($J$1,products!$A$1:$G$1,0))</f>
        <v>M</v>
      </c>
      <c r="K282" s="1">
        <f>INDEX(products!$A$1:$G$49,MATCH(orders!$D282,products!$A$1:$A$49,0),MATCH($K$1,products!$A$1:$G$1,0))</f>
        <v>0.5</v>
      </c>
      <c r="L282">
        <f>INDEX(products!$A$1:$G$49,MATCH(orders!$D282,products!$A$1:$A$49,0),MATCH($L$1,products!$A$1:$G$1,0))</f>
        <v>8.25</v>
      </c>
      <c r="M282">
        <f t="shared" si="13"/>
        <v>41.25</v>
      </c>
      <c r="N282" t="str">
        <f t="shared" si="14"/>
        <v>Excelsa</v>
      </c>
      <c r="O282" t="str">
        <f t="shared" si="15"/>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_xlfn.XLOOKUP(C283,customers!$A$2:$A$1001,customers!$B$2:$B$1001,0)</f>
        <v>Karlan Karby</v>
      </c>
      <c r="G283" s="2" t="str">
        <f>_xlfn.XLOOKUP(C283,customers!$A$2:$A$1001,customers!$C$2:$C$1001,0)</f>
        <v>kkarby7t@sbwire.com</v>
      </c>
      <c r="H283" s="2" t="str">
        <f>_xlfn.XLOOKUP(orders!C283,customers!$A$2:$A$1001,customers!$G$2:$G$1001,0)</f>
        <v>United States</v>
      </c>
      <c r="I283" t="str">
        <f>INDEX(products!$A$1:$G$49,MATCH(orders!$D283,products!$A$1:$A$49,0),MATCH($I$1,products!$A$1:$G$1,0))</f>
        <v>Exc</v>
      </c>
      <c r="J283" t="str">
        <f>INDEX(products!$A$1:$G$49,MATCH(orders!$D283,products!$A$1:$A$49,0),MATCH($J$1,products!$A$1:$G$1,0))</f>
        <v>L</v>
      </c>
      <c r="K283" s="1">
        <f>INDEX(products!$A$1:$G$49,MATCH(orders!$D283,products!$A$1:$A$49,0),MATCH($K$1,products!$A$1:$G$1,0))</f>
        <v>1</v>
      </c>
      <c r="L283">
        <f>INDEX(products!$A$1:$G$49,MATCH(orders!$D283,products!$A$1:$A$49,0),MATCH($L$1,products!$A$1:$G$1,0))</f>
        <v>14.85</v>
      </c>
      <c r="M283">
        <f t="shared" si="13"/>
        <v>59.4</v>
      </c>
      <c r="N283" t="str">
        <f t="shared" si="14"/>
        <v>Excelsa</v>
      </c>
      <c r="O283" t="str">
        <f t="shared" si="15"/>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_xlfn.XLOOKUP(C284,customers!$A$2:$A$1001,customers!$B$2:$B$1001,0)</f>
        <v>Flory Crumpe</v>
      </c>
      <c r="G284" s="2" t="str">
        <f>_xlfn.XLOOKUP(C284,customers!$A$2:$A$1001,customers!$C$2:$C$1001,0)</f>
        <v>fcrumpe7u@ftc.gov</v>
      </c>
      <c r="H284" s="2" t="str">
        <f>_xlfn.XLOOKUP(orders!C284,customers!$A$2:$A$1001,customers!$G$2:$G$1001,0)</f>
        <v>United Kingdom</v>
      </c>
      <c r="I284" t="str">
        <f>INDEX(products!$A$1:$G$49,MATCH(orders!$D284,products!$A$1:$A$49,0),MATCH($I$1,products!$A$1:$G$1,0))</f>
        <v>Ara</v>
      </c>
      <c r="J284" t="str">
        <f>INDEX(products!$A$1:$G$49,MATCH(orders!$D284,products!$A$1:$A$49,0),MATCH($J$1,products!$A$1:$G$1,0))</f>
        <v>L</v>
      </c>
      <c r="K284" s="1">
        <f>INDEX(products!$A$1:$G$49,MATCH(orders!$D284,products!$A$1:$A$49,0),MATCH($K$1,products!$A$1:$G$1,0))</f>
        <v>0.5</v>
      </c>
      <c r="L284">
        <f>INDEX(products!$A$1:$G$49,MATCH(orders!$D284,products!$A$1:$A$49,0),MATCH($L$1,products!$A$1:$G$1,0))</f>
        <v>7.77</v>
      </c>
      <c r="M284">
        <f t="shared" si="13"/>
        <v>7.77</v>
      </c>
      <c r="N284" t="str">
        <f t="shared" si="14"/>
        <v>Arabica</v>
      </c>
      <c r="O284" t="str">
        <f t="shared" si="15"/>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_xlfn.XLOOKUP(C285,customers!$A$2:$A$1001,customers!$B$2:$B$1001,0)</f>
        <v>Amity Chatto</v>
      </c>
      <c r="G285" s="2" t="str">
        <f>_xlfn.XLOOKUP(C285,customers!$A$2:$A$1001,customers!$C$2:$C$1001,0)</f>
        <v>achatto7v@sakura.ne.jp</v>
      </c>
      <c r="H285" s="2" t="str">
        <f>_xlfn.XLOOKUP(orders!C285,customers!$A$2:$A$1001,customers!$G$2:$G$1001,0)</f>
        <v>United Kingdom</v>
      </c>
      <c r="I285" t="str">
        <f>INDEX(products!$A$1:$G$49,MATCH(orders!$D285,products!$A$1:$A$49,0),MATCH($I$1,products!$A$1:$G$1,0))</f>
        <v>Rob</v>
      </c>
      <c r="J285" t="str">
        <f>INDEX(products!$A$1:$G$49,MATCH(orders!$D285,products!$A$1:$A$49,0),MATCH($J$1,products!$A$1:$G$1,0))</f>
        <v>D</v>
      </c>
      <c r="K285" s="1">
        <f>INDEX(products!$A$1:$G$49,MATCH(orders!$D285,products!$A$1:$A$49,0),MATCH($K$1,products!$A$1:$G$1,0))</f>
        <v>0.5</v>
      </c>
      <c r="L285">
        <f>INDEX(products!$A$1:$G$49,MATCH(orders!$D285,products!$A$1:$A$49,0),MATCH($L$1,products!$A$1:$G$1,0))</f>
        <v>5.3699999999999992</v>
      </c>
      <c r="M285">
        <f t="shared" si="13"/>
        <v>5.3699999999999992</v>
      </c>
      <c r="N285" t="str">
        <f t="shared" si="14"/>
        <v>Robusta</v>
      </c>
      <c r="O285" t="str">
        <f t="shared" si="15"/>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_xlfn.XLOOKUP(C286,customers!$A$2:$A$1001,customers!$B$2:$B$1001,0)</f>
        <v>Nanine McCarthy</v>
      </c>
      <c r="G286" s="2">
        <f>_xlfn.XLOOKUP(C286,customers!$A$2:$A$1001,customers!$C$2:$C$1001,0)</f>
        <v>0</v>
      </c>
      <c r="H286" s="2" t="str">
        <f>_xlfn.XLOOKUP(orders!C286,customers!$A$2:$A$1001,customers!$G$2:$G$1001,0)</f>
        <v>United States</v>
      </c>
      <c r="I286" t="str">
        <f>INDEX(products!$A$1:$G$49,MATCH(orders!$D286,products!$A$1:$A$49,0),MATCH($I$1,products!$A$1:$G$1,0))</f>
        <v>Exc</v>
      </c>
      <c r="J286" t="str">
        <f>INDEX(products!$A$1:$G$49,MATCH(orders!$D286,products!$A$1:$A$49,0),MATCH($J$1,products!$A$1:$G$1,0))</f>
        <v>M</v>
      </c>
      <c r="K286" s="1">
        <f>INDEX(products!$A$1:$G$49,MATCH(orders!$D286,products!$A$1:$A$49,0),MATCH($K$1,products!$A$1:$G$1,0))</f>
        <v>2.5</v>
      </c>
      <c r="L286">
        <f>INDEX(products!$A$1:$G$49,MATCH(orders!$D286,products!$A$1:$A$49,0),MATCH($L$1,products!$A$1:$G$1,0))</f>
        <v>31.624999999999996</v>
      </c>
      <c r="M286">
        <f t="shared" si="13"/>
        <v>94.874999999999986</v>
      </c>
      <c r="N286" t="str">
        <f t="shared" si="14"/>
        <v>Excelsa</v>
      </c>
      <c r="O286" t="str">
        <f t="shared" si="15"/>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_xlfn.XLOOKUP(C287,customers!$A$2:$A$1001,customers!$B$2:$B$1001,0)</f>
        <v>Lyndsey Megany</v>
      </c>
      <c r="G287" s="2">
        <f>_xlfn.XLOOKUP(C287,customers!$A$2:$A$1001,customers!$C$2:$C$1001,0)</f>
        <v>0</v>
      </c>
      <c r="H287" s="2" t="str">
        <f>_xlfn.XLOOKUP(orders!C287,customers!$A$2:$A$1001,customers!$G$2:$G$1001,0)</f>
        <v>United States</v>
      </c>
      <c r="I287" t="str">
        <f>INDEX(products!$A$1:$G$49,MATCH(orders!$D287,products!$A$1:$A$49,0),MATCH($I$1,products!$A$1:$G$1,0))</f>
        <v>Lib</v>
      </c>
      <c r="J287" t="str">
        <f>INDEX(products!$A$1:$G$49,MATCH(orders!$D287,products!$A$1:$A$49,0),MATCH($J$1,products!$A$1:$G$1,0))</f>
        <v>L</v>
      </c>
      <c r="K287" s="1">
        <f>INDEX(products!$A$1:$G$49,MATCH(orders!$D287,products!$A$1:$A$49,0),MATCH($K$1,products!$A$1:$G$1,0))</f>
        <v>2.5</v>
      </c>
      <c r="L287">
        <f>INDEX(products!$A$1:$G$49,MATCH(orders!$D287,products!$A$1:$A$49,0),MATCH($L$1,products!$A$1:$G$1,0))</f>
        <v>36.454999999999998</v>
      </c>
      <c r="M287">
        <f t="shared" si="13"/>
        <v>36.454999999999998</v>
      </c>
      <c r="N287" t="str">
        <f t="shared" si="14"/>
        <v>Liberica</v>
      </c>
      <c r="O287" t="str">
        <f t="shared" si="15"/>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_xlfn.XLOOKUP(C288,customers!$A$2:$A$1001,customers!$B$2:$B$1001,0)</f>
        <v>Byram Mergue</v>
      </c>
      <c r="G288" s="2" t="str">
        <f>_xlfn.XLOOKUP(C288,customers!$A$2:$A$1001,customers!$C$2:$C$1001,0)</f>
        <v>bmergue7y@umn.edu</v>
      </c>
      <c r="H288" s="2" t="str">
        <f>_xlfn.XLOOKUP(orders!C288,customers!$A$2:$A$1001,customers!$G$2:$G$1001,0)</f>
        <v>United States</v>
      </c>
      <c r="I288" t="str">
        <f>INDEX(products!$A$1:$G$49,MATCH(orders!$D288,products!$A$1:$A$49,0),MATCH($I$1,products!$A$1:$G$1,0))</f>
        <v>Ara</v>
      </c>
      <c r="J288" t="str">
        <f>INDEX(products!$A$1:$G$49,MATCH(orders!$D288,products!$A$1:$A$49,0),MATCH($J$1,products!$A$1:$G$1,0))</f>
        <v>M</v>
      </c>
      <c r="K288" s="1">
        <f>INDEX(products!$A$1:$G$49,MATCH(orders!$D288,products!$A$1:$A$49,0),MATCH($K$1,products!$A$1:$G$1,0))</f>
        <v>0.2</v>
      </c>
      <c r="L288">
        <f>INDEX(products!$A$1:$G$49,MATCH(orders!$D288,products!$A$1:$A$49,0),MATCH($L$1,products!$A$1:$G$1,0))</f>
        <v>3.375</v>
      </c>
      <c r="M288">
        <f t="shared" si="13"/>
        <v>13.5</v>
      </c>
      <c r="N288" t="str">
        <f t="shared" si="14"/>
        <v>Arabica</v>
      </c>
      <c r="O288" t="str">
        <f t="shared" si="15"/>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_xlfn.XLOOKUP(C289,customers!$A$2:$A$1001,customers!$B$2:$B$1001,0)</f>
        <v>Kerr Patise</v>
      </c>
      <c r="G289" s="2" t="str">
        <f>_xlfn.XLOOKUP(C289,customers!$A$2:$A$1001,customers!$C$2:$C$1001,0)</f>
        <v>kpatise7z@jigsy.com</v>
      </c>
      <c r="H289" s="2" t="str">
        <f>_xlfn.XLOOKUP(orders!C289,customers!$A$2:$A$1001,customers!$G$2:$G$1001,0)</f>
        <v>United States</v>
      </c>
      <c r="I289" t="str">
        <f>INDEX(products!$A$1:$G$49,MATCH(orders!$D289,products!$A$1:$A$49,0),MATCH($I$1,products!$A$1:$G$1,0))</f>
        <v>Rob</v>
      </c>
      <c r="J289" t="str">
        <f>INDEX(products!$A$1:$G$49,MATCH(orders!$D289,products!$A$1:$A$49,0),MATCH($J$1,products!$A$1:$G$1,0))</f>
        <v>L</v>
      </c>
      <c r="K289" s="1">
        <f>INDEX(products!$A$1:$G$49,MATCH(orders!$D289,products!$A$1:$A$49,0),MATCH($K$1,products!$A$1:$G$1,0))</f>
        <v>0.2</v>
      </c>
      <c r="L289">
        <f>INDEX(products!$A$1:$G$49,MATCH(orders!$D289,products!$A$1:$A$49,0),MATCH($L$1,products!$A$1:$G$1,0))</f>
        <v>3.5849999999999995</v>
      </c>
      <c r="M289">
        <f t="shared" si="13"/>
        <v>14.339999999999998</v>
      </c>
      <c r="N289" t="str">
        <f t="shared" si="14"/>
        <v>Robusta</v>
      </c>
      <c r="O289" t="str">
        <f t="shared" si="15"/>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_xlfn.XLOOKUP(C290,customers!$A$2:$A$1001,customers!$B$2:$B$1001,0)</f>
        <v>Mathew Goulter</v>
      </c>
      <c r="G290" s="2">
        <f>_xlfn.XLOOKUP(C290,customers!$A$2:$A$1001,customers!$C$2:$C$1001,0)</f>
        <v>0</v>
      </c>
      <c r="H290" s="2" t="str">
        <f>_xlfn.XLOOKUP(orders!C290,customers!$A$2:$A$1001,customers!$G$2:$G$1001,0)</f>
        <v>Ireland</v>
      </c>
      <c r="I290" t="str">
        <f>INDEX(products!$A$1:$G$49,MATCH(orders!$D290,products!$A$1:$A$49,0),MATCH($I$1,products!$A$1:$G$1,0))</f>
        <v>Exc</v>
      </c>
      <c r="J290" t="str">
        <f>INDEX(products!$A$1:$G$49,MATCH(orders!$D290,products!$A$1:$A$49,0),MATCH($J$1,products!$A$1:$G$1,0))</f>
        <v>M</v>
      </c>
      <c r="K290" s="1">
        <f>INDEX(products!$A$1:$G$49,MATCH(orders!$D290,products!$A$1:$A$49,0),MATCH($K$1,products!$A$1:$G$1,0))</f>
        <v>0.5</v>
      </c>
      <c r="L290">
        <f>INDEX(products!$A$1:$G$49,MATCH(orders!$D290,products!$A$1:$A$49,0),MATCH($L$1,products!$A$1:$G$1,0))</f>
        <v>8.25</v>
      </c>
      <c r="M290">
        <f t="shared" si="13"/>
        <v>8.25</v>
      </c>
      <c r="N290" t="str">
        <f t="shared" si="14"/>
        <v>Excelsa</v>
      </c>
      <c r="O290" t="str">
        <f t="shared" si="15"/>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_xlfn.XLOOKUP(C291,customers!$A$2:$A$1001,customers!$B$2:$B$1001,0)</f>
        <v>Marris Grcic</v>
      </c>
      <c r="G291" s="2">
        <f>_xlfn.XLOOKUP(C291,customers!$A$2:$A$1001,customers!$C$2:$C$1001,0)</f>
        <v>0</v>
      </c>
      <c r="H291" s="2" t="str">
        <f>_xlfn.XLOOKUP(orders!C291,customers!$A$2:$A$1001,customers!$G$2:$G$1001,0)</f>
        <v>United States</v>
      </c>
      <c r="I291" t="str">
        <f>INDEX(products!$A$1:$G$49,MATCH(orders!$D291,products!$A$1:$A$49,0),MATCH($I$1,products!$A$1:$G$1,0))</f>
        <v>Rob</v>
      </c>
      <c r="J291" t="str">
        <f>INDEX(products!$A$1:$G$49,MATCH(orders!$D291,products!$A$1:$A$49,0),MATCH($J$1,products!$A$1:$G$1,0))</f>
        <v>D</v>
      </c>
      <c r="K291" s="1">
        <f>INDEX(products!$A$1:$G$49,MATCH(orders!$D291,products!$A$1:$A$49,0),MATCH($K$1,products!$A$1:$G$1,0))</f>
        <v>0.2</v>
      </c>
      <c r="L291">
        <f>INDEX(products!$A$1:$G$49,MATCH(orders!$D291,products!$A$1:$A$49,0),MATCH($L$1,products!$A$1:$G$1,0))</f>
        <v>2.6849999999999996</v>
      </c>
      <c r="M291">
        <f t="shared" si="13"/>
        <v>13.424999999999997</v>
      </c>
      <c r="N291" t="str">
        <f t="shared" si="14"/>
        <v>Robusta</v>
      </c>
      <c r="O291" t="str">
        <f t="shared" si="15"/>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_xlfn.XLOOKUP(C292,customers!$A$2:$A$1001,customers!$B$2:$B$1001,0)</f>
        <v>Domeniga Duke</v>
      </c>
      <c r="G292" s="2" t="str">
        <f>_xlfn.XLOOKUP(C292,customers!$A$2:$A$1001,customers!$C$2:$C$1001,0)</f>
        <v>dduke82@vkontakte.ru</v>
      </c>
      <c r="H292" s="2" t="str">
        <f>_xlfn.XLOOKUP(orders!C292,customers!$A$2:$A$1001,customers!$G$2:$G$1001,0)</f>
        <v>United States</v>
      </c>
      <c r="I292" t="str">
        <f>INDEX(products!$A$1:$G$49,MATCH(orders!$D292,products!$A$1:$A$49,0),MATCH($I$1,products!$A$1:$G$1,0))</f>
        <v>Ara</v>
      </c>
      <c r="J292" t="str">
        <f>INDEX(products!$A$1:$G$49,MATCH(orders!$D292,products!$A$1:$A$49,0),MATCH($J$1,products!$A$1:$G$1,0))</f>
        <v>D</v>
      </c>
      <c r="K292" s="1">
        <f>INDEX(products!$A$1:$G$49,MATCH(orders!$D292,products!$A$1:$A$49,0),MATCH($K$1,products!$A$1:$G$1,0))</f>
        <v>1</v>
      </c>
      <c r="L292">
        <f>INDEX(products!$A$1:$G$49,MATCH(orders!$D292,products!$A$1:$A$49,0),MATCH($L$1,products!$A$1:$G$1,0))</f>
        <v>9.9499999999999993</v>
      </c>
      <c r="M292">
        <f t="shared" si="13"/>
        <v>49.75</v>
      </c>
      <c r="N292" t="str">
        <f t="shared" si="14"/>
        <v>Arabica</v>
      </c>
      <c r="O292" t="str">
        <f t="shared" si="15"/>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_xlfn.XLOOKUP(C293,customers!$A$2:$A$1001,customers!$B$2:$B$1001,0)</f>
        <v>Violante Skouling</v>
      </c>
      <c r="G293" s="2">
        <f>_xlfn.XLOOKUP(C293,customers!$A$2:$A$1001,customers!$C$2:$C$1001,0)</f>
        <v>0</v>
      </c>
      <c r="H293" s="2" t="str">
        <f>_xlfn.XLOOKUP(orders!C293,customers!$A$2:$A$1001,customers!$G$2:$G$1001,0)</f>
        <v>Ireland</v>
      </c>
      <c r="I293" t="str">
        <f>INDEX(products!$A$1:$G$49,MATCH(orders!$D293,products!$A$1:$A$49,0),MATCH($I$1,products!$A$1:$G$1,0))</f>
        <v>Exc</v>
      </c>
      <c r="J293" t="str">
        <f>INDEX(products!$A$1:$G$49,MATCH(orders!$D293,products!$A$1:$A$49,0),MATCH($J$1,products!$A$1:$G$1,0))</f>
        <v>M</v>
      </c>
      <c r="K293" s="1">
        <f>INDEX(products!$A$1:$G$49,MATCH(orders!$D293,products!$A$1:$A$49,0),MATCH($K$1,products!$A$1:$G$1,0))</f>
        <v>0.5</v>
      </c>
      <c r="L293">
        <f>INDEX(products!$A$1:$G$49,MATCH(orders!$D293,products!$A$1:$A$49,0),MATCH($L$1,products!$A$1:$G$1,0))</f>
        <v>8.25</v>
      </c>
      <c r="M293">
        <f t="shared" si="13"/>
        <v>16.5</v>
      </c>
      <c r="N293" t="str">
        <f t="shared" si="14"/>
        <v>Excelsa</v>
      </c>
      <c r="O293" t="str">
        <f t="shared" si="15"/>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_xlfn.XLOOKUP(C294,customers!$A$2:$A$1001,customers!$B$2:$B$1001,0)</f>
        <v>Isidore Hussey</v>
      </c>
      <c r="G294" s="2" t="str">
        <f>_xlfn.XLOOKUP(C294,customers!$A$2:$A$1001,customers!$C$2:$C$1001,0)</f>
        <v>ihussey84@mapy.cz</v>
      </c>
      <c r="H294" s="2" t="str">
        <f>_xlfn.XLOOKUP(orders!C294,customers!$A$2:$A$1001,customers!$G$2:$G$1001,0)</f>
        <v>United States</v>
      </c>
      <c r="I294" t="str">
        <f>INDEX(products!$A$1:$G$49,MATCH(orders!$D294,products!$A$1:$A$49,0),MATCH($I$1,products!$A$1:$G$1,0))</f>
        <v>Ara</v>
      </c>
      <c r="J294" t="str">
        <f>INDEX(products!$A$1:$G$49,MATCH(orders!$D294,products!$A$1:$A$49,0),MATCH($J$1,products!$A$1:$G$1,0))</f>
        <v>D</v>
      </c>
      <c r="K294" s="1">
        <f>INDEX(products!$A$1:$G$49,MATCH(orders!$D294,products!$A$1:$A$49,0),MATCH($K$1,products!$A$1:$G$1,0))</f>
        <v>0.5</v>
      </c>
      <c r="L294">
        <f>INDEX(products!$A$1:$G$49,MATCH(orders!$D294,products!$A$1:$A$49,0),MATCH($L$1,products!$A$1:$G$1,0))</f>
        <v>5.97</v>
      </c>
      <c r="M294">
        <f t="shared" si="13"/>
        <v>17.91</v>
      </c>
      <c r="N294" t="str">
        <f t="shared" si="14"/>
        <v>Arabica</v>
      </c>
      <c r="O294" t="str">
        <f t="shared" si="15"/>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_xlfn.XLOOKUP(C295,customers!$A$2:$A$1001,customers!$B$2:$B$1001,0)</f>
        <v>Cassie Pinkerton</v>
      </c>
      <c r="G295" s="2" t="str">
        <f>_xlfn.XLOOKUP(C295,customers!$A$2:$A$1001,customers!$C$2:$C$1001,0)</f>
        <v>cpinkerton85@upenn.edu</v>
      </c>
      <c r="H295" s="2" t="str">
        <f>_xlfn.XLOOKUP(orders!C295,customers!$A$2:$A$1001,customers!$G$2:$G$1001,0)</f>
        <v>United States</v>
      </c>
      <c r="I295" t="str">
        <f>INDEX(products!$A$1:$G$49,MATCH(orders!$D295,products!$A$1:$A$49,0),MATCH($I$1,products!$A$1:$G$1,0))</f>
        <v>Ara</v>
      </c>
      <c r="J295" t="str">
        <f>INDEX(products!$A$1:$G$49,MATCH(orders!$D295,products!$A$1:$A$49,0),MATCH($J$1,products!$A$1:$G$1,0))</f>
        <v>D</v>
      </c>
      <c r="K295" s="1">
        <f>INDEX(products!$A$1:$G$49,MATCH(orders!$D295,products!$A$1:$A$49,0),MATCH($K$1,products!$A$1:$G$1,0))</f>
        <v>0.5</v>
      </c>
      <c r="L295">
        <f>INDEX(products!$A$1:$G$49,MATCH(orders!$D295,products!$A$1:$A$49,0),MATCH($L$1,products!$A$1:$G$1,0))</f>
        <v>5.97</v>
      </c>
      <c r="M295">
        <f t="shared" si="13"/>
        <v>29.849999999999998</v>
      </c>
      <c r="N295" t="str">
        <f t="shared" si="14"/>
        <v>Arabica</v>
      </c>
      <c r="O295" t="str">
        <f t="shared" si="15"/>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_xlfn.XLOOKUP(C296,customers!$A$2:$A$1001,customers!$B$2:$B$1001,0)</f>
        <v>Micki Fero</v>
      </c>
      <c r="G296" s="2">
        <f>_xlfn.XLOOKUP(C296,customers!$A$2:$A$1001,customers!$C$2:$C$1001,0)</f>
        <v>0</v>
      </c>
      <c r="H296" s="2" t="str">
        <f>_xlfn.XLOOKUP(orders!C296,customers!$A$2:$A$1001,customers!$G$2:$G$1001,0)</f>
        <v>United States</v>
      </c>
      <c r="I296" t="str">
        <f>INDEX(products!$A$1:$G$49,MATCH(orders!$D296,products!$A$1:$A$49,0),MATCH($I$1,products!$A$1:$G$1,0))</f>
        <v>Exc</v>
      </c>
      <c r="J296" t="str">
        <f>INDEX(products!$A$1:$G$49,MATCH(orders!$D296,products!$A$1:$A$49,0),MATCH($J$1,products!$A$1:$G$1,0))</f>
        <v>L</v>
      </c>
      <c r="K296" s="1">
        <f>INDEX(products!$A$1:$G$49,MATCH(orders!$D296,products!$A$1:$A$49,0),MATCH($K$1,products!$A$1:$G$1,0))</f>
        <v>1</v>
      </c>
      <c r="L296">
        <f>INDEX(products!$A$1:$G$49,MATCH(orders!$D296,products!$A$1:$A$49,0),MATCH($L$1,products!$A$1:$G$1,0))</f>
        <v>14.85</v>
      </c>
      <c r="M296">
        <f t="shared" si="13"/>
        <v>44.55</v>
      </c>
      <c r="N296" t="str">
        <f t="shared" si="14"/>
        <v>Excelsa</v>
      </c>
      <c r="O296" t="str">
        <f t="shared" si="15"/>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_xlfn.XLOOKUP(C297,customers!$A$2:$A$1001,customers!$B$2:$B$1001,0)</f>
        <v>Cybill Graddell</v>
      </c>
      <c r="G297" s="2">
        <f>_xlfn.XLOOKUP(C297,customers!$A$2:$A$1001,customers!$C$2:$C$1001,0)</f>
        <v>0</v>
      </c>
      <c r="H297" s="2" t="str">
        <f>_xlfn.XLOOKUP(orders!C297,customers!$A$2:$A$1001,customers!$G$2:$G$1001,0)</f>
        <v>United States</v>
      </c>
      <c r="I297" t="str">
        <f>INDEX(products!$A$1:$G$49,MATCH(orders!$D297,products!$A$1:$A$49,0),MATCH($I$1,products!$A$1:$G$1,0))</f>
        <v>Exc</v>
      </c>
      <c r="J297" t="str">
        <f>INDEX(products!$A$1:$G$49,MATCH(orders!$D297,products!$A$1:$A$49,0),MATCH($J$1,products!$A$1:$G$1,0))</f>
        <v>M</v>
      </c>
      <c r="K297" s="1">
        <f>INDEX(products!$A$1:$G$49,MATCH(orders!$D297,products!$A$1:$A$49,0),MATCH($K$1,products!$A$1:$G$1,0))</f>
        <v>1</v>
      </c>
      <c r="L297">
        <f>INDEX(products!$A$1:$G$49,MATCH(orders!$D297,products!$A$1:$A$49,0),MATCH($L$1,products!$A$1:$G$1,0))</f>
        <v>13.75</v>
      </c>
      <c r="M297">
        <f t="shared" si="13"/>
        <v>27.5</v>
      </c>
      <c r="N297" t="str">
        <f t="shared" si="14"/>
        <v>Excelsa</v>
      </c>
      <c r="O297" t="str">
        <f t="shared" si="15"/>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_xlfn.XLOOKUP(C298,customers!$A$2:$A$1001,customers!$B$2:$B$1001,0)</f>
        <v>Dorian Vizor</v>
      </c>
      <c r="G298" s="2" t="str">
        <f>_xlfn.XLOOKUP(C298,customers!$A$2:$A$1001,customers!$C$2:$C$1001,0)</f>
        <v>dvizor88@furl.net</v>
      </c>
      <c r="H298" s="2" t="str">
        <f>_xlfn.XLOOKUP(orders!C298,customers!$A$2:$A$1001,customers!$G$2:$G$1001,0)</f>
        <v>United States</v>
      </c>
      <c r="I298" t="str">
        <f>INDEX(products!$A$1:$G$49,MATCH(orders!$D298,products!$A$1:$A$49,0),MATCH($I$1,products!$A$1:$G$1,0))</f>
        <v>Rob</v>
      </c>
      <c r="J298" t="str">
        <f>INDEX(products!$A$1:$G$49,MATCH(orders!$D298,products!$A$1:$A$49,0),MATCH($J$1,products!$A$1:$G$1,0))</f>
        <v>M</v>
      </c>
      <c r="K298" s="1">
        <f>INDEX(products!$A$1:$G$49,MATCH(orders!$D298,products!$A$1:$A$49,0),MATCH($K$1,products!$A$1:$G$1,0))</f>
        <v>0.5</v>
      </c>
      <c r="L298">
        <f>INDEX(products!$A$1:$G$49,MATCH(orders!$D298,products!$A$1:$A$49,0),MATCH($L$1,products!$A$1:$G$1,0))</f>
        <v>5.97</v>
      </c>
      <c r="M298">
        <f t="shared" si="13"/>
        <v>35.82</v>
      </c>
      <c r="N298" t="str">
        <f t="shared" si="14"/>
        <v>Robusta</v>
      </c>
      <c r="O298" t="str">
        <f t="shared" si="15"/>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_xlfn.XLOOKUP(C299,customers!$A$2:$A$1001,customers!$B$2:$B$1001,0)</f>
        <v>Eddi Sedgebeer</v>
      </c>
      <c r="G299" s="2" t="str">
        <f>_xlfn.XLOOKUP(C299,customers!$A$2:$A$1001,customers!$C$2:$C$1001,0)</f>
        <v>esedgebeer89@oaic.gov.au</v>
      </c>
      <c r="H299" s="2" t="str">
        <f>_xlfn.XLOOKUP(orders!C299,customers!$A$2:$A$1001,customers!$G$2:$G$1001,0)</f>
        <v>United States</v>
      </c>
      <c r="I299" t="str">
        <f>INDEX(products!$A$1:$G$49,MATCH(orders!$D299,products!$A$1:$A$49,0),MATCH($I$1,products!$A$1:$G$1,0))</f>
        <v>Rob</v>
      </c>
      <c r="J299" t="str">
        <f>INDEX(products!$A$1:$G$49,MATCH(orders!$D299,products!$A$1:$A$49,0),MATCH($J$1,products!$A$1:$G$1,0))</f>
        <v>D</v>
      </c>
      <c r="K299" s="1">
        <f>INDEX(products!$A$1:$G$49,MATCH(orders!$D299,products!$A$1:$A$49,0),MATCH($K$1,products!$A$1:$G$1,0))</f>
        <v>0.5</v>
      </c>
      <c r="L299">
        <f>INDEX(products!$A$1:$G$49,MATCH(orders!$D299,products!$A$1:$A$49,0),MATCH($L$1,products!$A$1:$G$1,0))</f>
        <v>5.3699999999999992</v>
      </c>
      <c r="M299">
        <f t="shared" si="13"/>
        <v>16.11</v>
      </c>
      <c r="N299" t="str">
        <f t="shared" si="14"/>
        <v>Robusta</v>
      </c>
      <c r="O299" t="str">
        <f t="shared" si="15"/>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_xlfn.XLOOKUP(C300,customers!$A$2:$A$1001,customers!$B$2:$B$1001,0)</f>
        <v>Ken Lestrange</v>
      </c>
      <c r="G300" s="2" t="str">
        <f>_xlfn.XLOOKUP(C300,customers!$A$2:$A$1001,customers!$C$2:$C$1001,0)</f>
        <v>klestrange8a@lulu.com</v>
      </c>
      <c r="H300" s="2" t="str">
        <f>_xlfn.XLOOKUP(orders!C300,customers!$A$2:$A$1001,customers!$G$2:$G$1001,0)</f>
        <v>United States</v>
      </c>
      <c r="I300" t="str">
        <f>INDEX(products!$A$1:$G$49,MATCH(orders!$D300,products!$A$1:$A$49,0),MATCH($I$1,products!$A$1:$G$1,0))</f>
        <v>Exc</v>
      </c>
      <c r="J300" t="str">
        <f>INDEX(products!$A$1:$G$49,MATCH(orders!$D300,products!$A$1:$A$49,0),MATCH($J$1,products!$A$1:$G$1,0))</f>
        <v>L</v>
      </c>
      <c r="K300" s="1">
        <f>INDEX(products!$A$1:$G$49,MATCH(orders!$D300,products!$A$1:$A$49,0),MATCH($K$1,products!$A$1:$G$1,0))</f>
        <v>0.2</v>
      </c>
      <c r="L300">
        <f>INDEX(products!$A$1:$G$49,MATCH(orders!$D300,products!$A$1:$A$49,0),MATCH($L$1,products!$A$1:$G$1,0))</f>
        <v>4.4550000000000001</v>
      </c>
      <c r="M300">
        <f t="shared" si="13"/>
        <v>26.73</v>
      </c>
      <c r="N300" t="str">
        <f t="shared" si="14"/>
        <v>Excelsa</v>
      </c>
      <c r="O300" t="str">
        <f t="shared" si="15"/>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_xlfn.XLOOKUP(C301,customers!$A$2:$A$1001,customers!$B$2:$B$1001,0)</f>
        <v>Lacee Tanti</v>
      </c>
      <c r="G301" s="2" t="str">
        <f>_xlfn.XLOOKUP(C301,customers!$A$2:$A$1001,customers!$C$2:$C$1001,0)</f>
        <v>ltanti8b@techcrunch.com</v>
      </c>
      <c r="H301" s="2" t="str">
        <f>_xlfn.XLOOKUP(orders!C301,customers!$A$2:$A$1001,customers!$G$2:$G$1001,0)</f>
        <v>United States</v>
      </c>
      <c r="I301" t="str">
        <f>INDEX(products!$A$1:$G$49,MATCH(orders!$D301,products!$A$1:$A$49,0),MATCH($I$1,products!$A$1:$G$1,0))</f>
        <v>Exc</v>
      </c>
      <c r="J301" t="str">
        <f>INDEX(products!$A$1:$G$49,MATCH(orders!$D301,products!$A$1:$A$49,0),MATCH($J$1,products!$A$1:$G$1,0))</f>
        <v>L</v>
      </c>
      <c r="K301" s="1">
        <f>INDEX(products!$A$1:$G$49,MATCH(orders!$D301,products!$A$1:$A$49,0),MATCH($K$1,products!$A$1:$G$1,0))</f>
        <v>2.5</v>
      </c>
      <c r="L301">
        <f>INDEX(products!$A$1:$G$49,MATCH(orders!$D301,products!$A$1:$A$49,0),MATCH($L$1,products!$A$1:$G$1,0))</f>
        <v>34.154999999999994</v>
      </c>
      <c r="M301">
        <f t="shared" si="13"/>
        <v>204.92999999999995</v>
      </c>
      <c r="N301" t="str">
        <f t="shared" si="14"/>
        <v>Excelsa</v>
      </c>
      <c r="O301" t="str">
        <f t="shared" si="15"/>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_xlfn.XLOOKUP(C302,customers!$A$2:$A$1001,customers!$B$2:$B$1001,0)</f>
        <v>Arel De Lasci</v>
      </c>
      <c r="G302" s="2" t="str">
        <f>_xlfn.XLOOKUP(C302,customers!$A$2:$A$1001,customers!$C$2:$C$1001,0)</f>
        <v>ade8c@1und1.de</v>
      </c>
      <c r="H302" s="2" t="str">
        <f>_xlfn.XLOOKUP(orders!C302,customers!$A$2:$A$1001,customers!$G$2:$G$1001,0)</f>
        <v>United States</v>
      </c>
      <c r="I302" t="str">
        <f>INDEX(products!$A$1:$G$49,MATCH(orders!$D302,products!$A$1:$A$49,0),MATCH($I$1,products!$A$1:$G$1,0))</f>
        <v>Ara</v>
      </c>
      <c r="J302" t="str">
        <f>INDEX(products!$A$1:$G$49,MATCH(orders!$D302,products!$A$1:$A$49,0),MATCH($J$1,products!$A$1:$G$1,0))</f>
        <v>L</v>
      </c>
      <c r="K302" s="1">
        <f>INDEX(products!$A$1:$G$49,MATCH(orders!$D302,products!$A$1:$A$49,0),MATCH($K$1,products!$A$1:$G$1,0))</f>
        <v>1</v>
      </c>
      <c r="L302">
        <f>INDEX(products!$A$1:$G$49,MATCH(orders!$D302,products!$A$1:$A$49,0),MATCH($L$1,products!$A$1:$G$1,0))</f>
        <v>12.95</v>
      </c>
      <c r="M302">
        <f t="shared" si="13"/>
        <v>38.849999999999994</v>
      </c>
      <c r="N302" t="str">
        <f t="shared" si="14"/>
        <v>Arabica</v>
      </c>
      <c r="O302" t="str">
        <f t="shared" si="15"/>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_xlfn.XLOOKUP(C303,customers!$A$2:$A$1001,customers!$B$2:$B$1001,0)</f>
        <v>Trescha Jedrachowicz</v>
      </c>
      <c r="G303" s="2" t="str">
        <f>_xlfn.XLOOKUP(C303,customers!$A$2:$A$1001,customers!$C$2:$C$1001,0)</f>
        <v>tjedrachowicz8d@acquirethisname.com</v>
      </c>
      <c r="H303" s="2" t="str">
        <f>_xlfn.XLOOKUP(orders!C303,customers!$A$2:$A$1001,customers!$G$2:$G$1001,0)</f>
        <v>United States</v>
      </c>
      <c r="I303" t="str">
        <f>INDEX(products!$A$1:$G$49,MATCH(orders!$D303,products!$A$1:$A$49,0),MATCH($I$1,products!$A$1:$G$1,0))</f>
        <v>Lib</v>
      </c>
      <c r="J303" t="str">
        <f>INDEX(products!$A$1:$G$49,MATCH(orders!$D303,products!$A$1:$A$49,0),MATCH($J$1,products!$A$1:$G$1,0))</f>
        <v>D</v>
      </c>
      <c r="K303" s="1">
        <f>INDEX(products!$A$1:$G$49,MATCH(orders!$D303,products!$A$1:$A$49,0),MATCH($K$1,products!$A$1:$G$1,0))</f>
        <v>0.2</v>
      </c>
      <c r="L303">
        <f>INDEX(products!$A$1:$G$49,MATCH(orders!$D303,products!$A$1:$A$49,0),MATCH($L$1,products!$A$1:$G$1,0))</f>
        <v>3.8849999999999998</v>
      </c>
      <c r="M303">
        <f t="shared" si="13"/>
        <v>15.54</v>
      </c>
      <c r="N303" t="str">
        <f t="shared" si="14"/>
        <v>Liberica</v>
      </c>
      <c r="O303" t="str">
        <f t="shared" si="15"/>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_xlfn.XLOOKUP(C304,customers!$A$2:$A$1001,customers!$B$2:$B$1001,0)</f>
        <v>Perkin Stonner</v>
      </c>
      <c r="G304" s="2" t="str">
        <f>_xlfn.XLOOKUP(C304,customers!$A$2:$A$1001,customers!$C$2:$C$1001,0)</f>
        <v>pstonner8e@moonfruit.com</v>
      </c>
      <c r="H304" s="2" t="str">
        <f>_xlfn.XLOOKUP(orders!C304,customers!$A$2:$A$1001,customers!$G$2:$G$1001,0)</f>
        <v>United States</v>
      </c>
      <c r="I304" t="str">
        <f>INDEX(products!$A$1:$G$49,MATCH(orders!$D304,products!$A$1:$A$49,0),MATCH($I$1,products!$A$1:$G$1,0))</f>
        <v>Ara</v>
      </c>
      <c r="J304" t="str">
        <f>INDEX(products!$A$1:$G$49,MATCH(orders!$D304,products!$A$1:$A$49,0),MATCH($J$1,products!$A$1:$G$1,0))</f>
        <v>M</v>
      </c>
      <c r="K304" s="1">
        <f>INDEX(products!$A$1:$G$49,MATCH(orders!$D304,products!$A$1:$A$49,0),MATCH($K$1,products!$A$1:$G$1,0))</f>
        <v>0.5</v>
      </c>
      <c r="L304">
        <f>INDEX(products!$A$1:$G$49,MATCH(orders!$D304,products!$A$1:$A$49,0),MATCH($L$1,products!$A$1:$G$1,0))</f>
        <v>6.75</v>
      </c>
      <c r="M304">
        <f t="shared" si="13"/>
        <v>6.75</v>
      </c>
      <c r="N304" t="str">
        <f t="shared" si="14"/>
        <v>Arabica</v>
      </c>
      <c r="O304" t="str">
        <f t="shared" si="15"/>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_xlfn.XLOOKUP(C305,customers!$A$2:$A$1001,customers!$B$2:$B$1001,0)</f>
        <v>Darrin Tingly</v>
      </c>
      <c r="G305" s="2" t="str">
        <f>_xlfn.XLOOKUP(C305,customers!$A$2:$A$1001,customers!$C$2:$C$1001,0)</f>
        <v>dtingly8f@goo.ne.jp</v>
      </c>
      <c r="H305" s="2" t="str">
        <f>_xlfn.XLOOKUP(orders!C305,customers!$A$2:$A$1001,customers!$G$2:$G$1001,0)</f>
        <v>United States</v>
      </c>
      <c r="I305" t="str">
        <f>INDEX(products!$A$1:$G$49,MATCH(orders!$D305,products!$A$1:$A$49,0),MATCH($I$1,products!$A$1:$G$1,0))</f>
        <v>Exc</v>
      </c>
      <c r="J305" t="str">
        <f>INDEX(products!$A$1:$G$49,MATCH(orders!$D305,products!$A$1:$A$49,0),MATCH($J$1,products!$A$1:$G$1,0))</f>
        <v>D</v>
      </c>
      <c r="K305" s="1">
        <f>INDEX(products!$A$1:$G$49,MATCH(orders!$D305,products!$A$1:$A$49,0),MATCH($K$1,products!$A$1:$G$1,0))</f>
        <v>2.5</v>
      </c>
      <c r="L305">
        <f>INDEX(products!$A$1:$G$49,MATCH(orders!$D305,products!$A$1:$A$49,0),MATCH($L$1,products!$A$1:$G$1,0))</f>
        <v>27.945</v>
      </c>
      <c r="M305">
        <f t="shared" si="13"/>
        <v>111.78</v>
      </c>
      <c r="N305" t="str">
        <f t="shared" si="14"/>
        <v>Excelsa</v>
      </c>
      <c r="O305" t="str">
        <f t="shared" si="15"/>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_xlfn.XLOOKUP(C306,customers!$A$2:$A$1001,customers!$B$2:$B$1001,0)</f>
        <v>Claudetta Rushe</v>
      </c>
      <c r="G306" s="2" t="str">
        <f>_xlfn.XLOOKUP(C306,customers!$A$2:$A$1001,customers!$C$2:$C$1001,0)</f>
        <v>crushe8n@about.me</v>
      </c>
      <c r="H306" s="2" t="str">
        <f>_xlfn.XLOOKUP(orders!C306,customers!$A$2:$A$1001,customers!$G$2:$G$1001,0)</f>
        <v>United States</v>
      </c>
      <c r="I306" t="str">
        <f>INDEX(products!$A$1:$G$49,MATCH(orders!$D306,products!$A$1:$A$49,0),MATCH($I$1,products!$A$1:$G$1,0))</f>
        <v>Ara</v>
      </c>
      <c r="J306" t="str">
        <f>INDEX(products!$A$1:$G$49,MATCH(orders!$D306,products!$A$1:$A$49,0),MATCH($J$1,products!$A$1:$G$1,0))</f>
        <v>L</v>
      </c>
      <c r="K306" s="1">
        <f>INDEX(products!$A$1:$G$49,MATCH(orders!$D306,products!$A$1:$A$49,0),MATCH($K$1,products!$A$1:$G$1,0))</f>
        <v>0.2</v>
      </c>
      <c r="L306">
        <f>INDEX(products!$A$1:$G$49,MATCH(orders!$D306,products!$A$1:$A$49,0),MATCH($L$1,products!$A$1:$G$1,0))</f>
        <v>3.8849999999999998</v>
      </c>
      <c r="M306">
        <f t="shared" si="13"/>
        <v>3.8849999999999998</v>
      </c>
      <c r="N306" t="str">
        <f t="shared" si="14"/>
        <v>Arabica</v>
      </c>
      <c r="O306" t="str">
        <f t="shared" si="15"/>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_xlfn.XLOOKUP(C307,customers!$A$2:$A$1001,customers!$B$2:$B$1001,0)</f>
        <v>Benn Checci</v>
      </c>
      <c r="G307" s="2" t="str">
        <f>_xlfn.XLOOKUP(C307,customers!$A$2:$A$1001,customers!$C$2:$C$1001,0)</f>
        <v>bchecci8h@usa.gov</v>
      </c>
      <c r="H307" s="2" t="str">
        <f>_xlfn.XLOOKUP(orders!C307,customers!$A$2:$A$1001,customers!$G$2:$G$1001,0)</f>
        <v>United Kingdom</v>
      </c>
      <c r="I307" t="str">
        <f>INDEX(products!$A$1:$G$49,MATCH(orders!$D307,products!$A$1:$A$49,0),MATCH($I$1,products!$A$1:$G$1,0))</f>
        <v>Lib</v>
      </c>
      <c r="J307" t="str">
        <f>INDEX(products!$A$1:$G$49,MATCH(orders!$D307,products!$A$1:$A$49,0),MATCH($J$1,products!$A$1:$G$1,0))</f>
        <v>M</v>
      </c>
      <c r="K307" s="1">
        <f>INDEX(products!$A$1:$G$49,MATCH(orders!$D307,products!$A$1:$A$49,0),MATCH($K$1,products!$A$1:$G$1,0))</f>
        <v>0.2</v>
      </c>
      <c r="L307">
        <f>INDEX(products!$A$1:$G$49,MATCH(orders!$D307,products!$A$1:$A$49,0),MATCH($L$1,products!$A$1:$G$1,0))</f>
        <v>4.3650000000000002</v>
      </c>
      <c r="M307">
        <f t="shared" si="13"/>
        <v>21.825000000000003</v>
      </c>
      <c r="N307" t="str">
        <f t="shared" si="14"/>
        <v>Liberica</v>
      </c>
      <c r="O307" t="str">
        <f t="shared" si="15"/>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_xlfn.XLOOKUP(C308,customers!$A$2:$A$1001,customers!$B$2:$B$1001,0)</f>
        <v>Janifer Bagot</v>
      </c>
      <c r="G308" s="2" t="str">
        <f>_xlfn.XLOOKUP(C308,customers!$A$2:$A$1001,customers!$C$2:$C$1001,0)</f>
        <v>jbagot8i@mac.com</v>
      </c>
      <c r="H308" s="2" t="str">
        <f>_xlfn.XLOOKUP(orders!C308,customers!$A$2:$A$1001,customers!$G$2:$G$1001,0)</f>
        <v>United States</v>
      </c>
      <c r="I308" t="str">
        <f>INDEX(products!$A$1:$G$49,MATCH(orders!$D308,products!$A$1:$A$49,0),MATCH($I$1,products!$A$1:$G$1,0))</f>
        <v>Rob</v>
      </c>
      <c r="J308" t="str">
        <f>INDEX(products!$A$1:$G$49,MATCH(orders!$D308,products!$A$1:$A$49,0),MATCH($J$1,products!$A$1:$G$1,0))</f>
        <v>M</v>
      </c>
      <c r="K308" s="1">
        <f>INDEX(products!$A$1:$G$49,MATCH(orders!$D308,products!$A$1:$A$49,0),MATCH($K$1,products!$A$1:$G$1,0))</f>
        <v>0.2</v>
      </c>
      <c r="L308">
        <f>INDEX(products!$A$1:$G$49,MATCH(orders!$D308,products!$A$1:$A$49,0),MATCH($L$1,products!$A$1:$G$1,0))</f>
        <v>2.9849999999999999</v>
      </c>
      <c r="M308">
        <f t="shared" si="13"/>
        <v>14.924999999999999</v>
      </c>
      <c r="N308" t="str">
        <f t="shared" si="14"/>
        <v>Robusta</v>
      </c>
      <c r="O308" t="str">
        <f t="shared" si="15"/>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_xlfn.XLOOKUP(C309,customers!$A$2:$A$1001,customers!$B$2:$B$1001,0)</f>
        <v>Ermin Beeble</v>
      </c>
      <c r="G309" s="2" t="str">
        <f>_xlfn.XLOOKUP(C309,customers!$A$2:$A$1001,customers!$C$2:$C$1001,0)</f>
        <v>ebeeble8j@soundcloud.com</v>
      </c>
      <c r="H309" s="2" t="str">
        <f>_xlfn.XLOOKUP(orders!C309,customers!$A$2:$A$1001,customers!$G$2:$G$1001,0)</f>
        <v>United States</v>
      </c>
      <c r="I309" t="str">
        <f>INDEX(products!$A$1:$G$49,MATCH(orders!$D309,products!$A$1:$A$49,0),MATCH($I$1,products!$A$1:$G$1,0))</f>
        <v>Ara</v>
      </c>
      <c r="J309" t="str">
        <f>INDEX(products!$A$1:$G$49,MATCH(orders!$D309,products!$A$1:$A$49,0),MATCH($J$1,products!$A$1:$G$1,0))</f>
        <v>M</v>
      </c>
      <c r="K309" s="1">
        <f>INDEX(products!$A$1:$G$49,MATCH(orders!$D309,products!$A$1:$A$49,0),MATCH($K$1,products!$A$1:$G$1,0))</f>
        <v>1</v>
      </c>
      <c r="L309">
        <f>INDEX(products!$A$1:$G$49,MATCH(orders!$D309,products!$A$1:$A$49,0),MATCH($L$1,products!$A$1:$G$1,0))</f>
        <v>11.25</v>
      </c>
      <c r="M309">
        <f t="shared" si="13"/>
        <v>33.75</v>
      </c>
      <c r="N309" t="str">
        <f t="shared" si="14"/>
        <v>Arabica</v>
      </c>
      <c r="O309" t="str">
        <f t="shared" si="15"/>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_xlfn.XLOOKUP(C310,customers!$A$2:$A$1001,customers!$B$2:$B$1001,0)</f>
        <v>Cos Fluin</v>
      </c>
      <c r="G310" s="2" t="str">
        <f>_xlfn.XLOOKUP(C310,customers!$A$2:$A$1001,customers!$C$2:$C$1001,0)</f>
        <v>cfluin8k@flickr.com</v>
      </c>
      <c r="H310" s="2" t="str">
        <f>_xlfn.XLOOKUP(orders!C310,customers!$A$2:$A$1001,customers!$G$2:$G$1001,0)</f>
        <v>United Kingdom</v>
      </c>
      <c r="I310" t="str">
        <f>INDEX(products!$A$1:$G$49,MATCH(orders!$D310,products!$A$1:$A$49,0),MATCH($I$1,products!$A$1:$G$1,0))</f>
        <v>Ara</v>
      </c>
      <c r="J310" t="str">
        <f>INDEX(products!$A$1:$G$49,MATCH(orders!$D310,products!$A$1:$A$49,0),MATCH($J$1,products!$A$1:$G$1,0))</f>
        <v>M</v>
      </c>
      <c r="K310" s="1">
        <f>INDEX(products!$A$1:$G$49,MATCH(orders!$D310,products!$A$1:$A$49,0),MATCH($K$1,products!$A$1:$G$1,0))</f>
        <v>1</v>
      </c>
      <c r="L310">
        <f>INDEX(products!$A$1:$G$49,MATCH(orders!$D310,products!$A$1:$A$49,0),MATCH($L$1,products!$A$1:$G$1,0))</f>
        <v>11.25</v>
      </c>
      <c r="M310">
        <f t="shared" si="13"/>
        <v>33.75</v>
      </c>
      <c r="N310" t="str">
        <f t="shared" si="14"/>
        <v>Arabica</v>
      </c>
      <c r="O310" t="str">
        <f t="shared" si="15"/>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_xlfn.XLOOKUP(C311,customers!$A$2:$A$1001,customers!$B$2:$B$1001,0)</f>
        <v>Eveleen Bletsor</v>
      </c>
      <c r="G311" s="2" t="str">
        <f>_xlfn.XLOOKUP(C311,customers!$A$2:$A$1001,customers!$C$2:$C$1001,0)</f>
        <v>ebletsor8l@vinaora.com</v>
      </c>
      <c r="H311" s="2" t="str">
        <f>_xlfn.XLOOKUP(orders!C311,customers!$A$2:$A$1001,customers!$G$2:$G$1001,0)</f>
        <v>United States</v>
      </c>
      <c r="I311" t="str">
        <f>INDEX(products!$A$1:$G$49,MATCH(orders!$D311,products!$A$1:$A$49,0),MATCH($I$1,products!$A$1:$G$1,0))</f>
        <v>Lib</v>
      </c>
      <c r="J311" t="str">
        <f>INDEX(products!$A$1:$G$49,MATCH(orders!$D311,products!$A$1:$A$49,0),MATCH($J$1,products!$A$1:$G$1,0))</f>
        <v>M</v>
      </c>
      <c r="K311" s="1">
        <f>INDEX(products!$A$1:$G$49,MATCH(orders!$D311,products!$A$1:$A$49,0),MATCH($K$1,products!$A$1:$G$1,0))</f>
        <v>0.2</v>
      </c>
      <c r="L311">
        <f>INDEX(products!$A$1:$G$49,MATCH(orders!$D311,products!$A$1:$A$49,0),MATCH($L$1,products!$A$1:$G$1,0))</f>
        <v>4.3650000000000002</v>
      </c>
      <c r="M311">
        <f t="shared" si="13"/>
        <v>26.19</v>
      </c>
      <c r="N311" t="str">
        <f t="shared" si="14"/>
        <v>Liberica</v>
      </c>
      <c r="O311" t="str">
        <f t="shared" si="15"/>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_xlfn.XLOOKUP(C312,customers!$A$2:$A$1001,customers!$B$2:$B$1001,0)</f>
        <v>Paola Brydell</v>
      </c>
      <c r="G312" s="2" t="str">
        <f>_xlfn.XLOOKUP(C312,customers!$A$2:$A$1001,customers!$C$2:$C$1001,0)</f>
        <v>pbrydell8m@bloglovin.com</v>
      </c>
      <c r="H312" s="2" t="str">
        <f>_xlfn.XLOOKUP(orders!C312,customers!$A$2:$A$1001,customers!$G$2:$G$1001,0)</f>
        <v>Ireland</v>
      </c>
      <c r="I312" t="str">
        <f>INDEX(products!$A$1:$G$49,MATCH(orders!$D312,products!$A$1:$A$49,0),MATCH($I$1,products!$A$1:$G$1,0))</f>
        <v>Exc</v>
      </c>
      <c r="J312" t="str">
        <f>INDEX(products!$A$1:$G$49,MATCH(orders!$D312,products!$A$1:$A$49,0),MATCH($J$1,products!$A$1:$G$1,0))</f>
        <v>L</v>
      </c>
      <c r="K312" s="1">
        <f>INDEX(products!$A$1:$G$49,MATCH(orders!$D312,products!$A$1:$A$49,0),MATCH($K$1,products!$A$1:$G$1,0))</f>
        <v>1</v>
      </c>
      <c r="L312">
        <f>INDEX(products!$A$1:$G$49,MATCH(orders!$D312,products!$A$1:$A$49,0),MATCH($L$1,products!$A$1:$G$1,0))</f>
        <v>14.85</v>
      </c>
      <c r="M312">
        <f t="shared" si="13"/>
        <v>14.85</v>
      </c>
      <c r="N312" t="str">
        <f t="shared" si="14"/>
        <v>Excelsa</v>
      </c>
      <c r="O312" t="str">
        <f t="shared" si="15"/>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_xlfn.XLOOKUP(C313,customers!$A$2:$A$1001,customers!$B$2:$B$1001,0)</f>
        <v>Claudetta Rushe</v>
      </c>
      <c r="G313" s="2" t="str">
        <f>_xlfn.XLOOKUP(C313,customers!$A$2:$A$1001,customers!$C$2:$C$1001,0)</f>
        <v>crushe8n@about.me</v>
      </c>
      <c r="H313" s="2" t="str">
        <f>_xlfn.XLOOKUP(orders!C313,customers!$A$2:$A$1001,customers!$G$2:$G$1001,0)</f>
        <v>United States</v>
      </c>
      <c r="I313" t="str">
        <f>INDEX(products!$A$1:$G$49,MATCH(orders!$D313,products!$A$1:$A$49,0),MATCH($I$1,products!$A$1:$G$1,0))</f>
        <v>Exc</v>
      </c>
      <c r="J313" t="str">
        <f>INDEX(products!$A$1:$G$49,MATCH(orders!$D313,products!$A$1:$A$49,0),MATCH($J$1,products!$A$1:$G$1,0))</f>
        <v>M</v>
      </c>
      <c r="K313" s="1">
        <f>INDEX(products!$A$1:$G$49,MATCH(orders!$D313,products!$A$1:$A$49,0),MATCH($K$1,products!$A$1:$G$1,0))</f>
        <v>2.5</v>
      </c>
      <c r="L313">
        <f>INDEX(products!$A$1:$G$49,MATCH(orders!$D313,products!$A$1:$A$49,0),MATCH($L$1,products!$A$1:$G$1,0))</f>
        <v>31.624999999999996</v>
      </c>
      <c r="M313">
        <f t="shared" si="13"/>
        <v>189.74999999999997</v>
      </c>
      <c r="N313" t="str">
        <f t="shared" si="14"/>
        <v>Excelsa</v>
      </c>
      <c r="O313" t="str">
        <f t="shared" si="15"/>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_xlfn.XLOOKUP(C314,customers!$A$2:$A$1001,customers!$B$2:$B$1001,0)</f>
        <v>Natka Leethem</v>
      </c>
      <c r="G314" s="2" t="str">
        <f>_xlfn.XLOOKUP(C314,customers!$A$2:$A$1001,customers!$C$2:$C$1001,0)</f>
        <v>nleethem8o@mac.com</v>
      </c>
      <c r="H314" s="2" t="str">
        <f>_xlfn.XLOOKUP(orders!C314,customers!$A$2:$A$1001,customers!$G$2:$G$1001,0)</f>
        <v>United States</v>
      </c>
      <c r="I314" t="str">
        <f>INDEX(products!$A$1:$G$49,MATCH(orders!$D314,products!$A$1:$A$49,0),MATCH($I$1,products!$A$1:$G$1,0))</f>
        <v>Rob</v>
      </c>
      <c r="J314" t="str">
        <f>INDEX(products!$A$1:$G$49,MATCH(orders!$D314,products!$A$1:$A$49,0),MATCH($J$1,products!$A$1:$G$1,0))</f>
        <v>M</v>
      </c>
      <c r="K314" s="1">
        <f>INDEX(products!$A$1:$G$49,MATCH(orders!$D314,products!$A$1:$A$49,0),MATCH($K$1,products!$A$1:$G$1,0))</f>
        <v>0.5</v>
      </c>
      <c r="L314">
        <f>INDEX(products!$A$1:$G$49,MATCH(orders!$D314,products!$A$1:$A$49,0),MATCH($L$1,products!$A$1:$G$1,0))</f>
        <v>5.97</v>
      </c>
      <c r="M314">
        <f t="shared" si="13"/>
        <v>5.97</v>
      </c>
      <c r="N314" t="str">
        <f t="shared" si="14"/>
        <v>Robusta</v>
      </c>
      <c r="O314" t="str">
        <f t="shared" si="15"/>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_xlfn.XLOOKUP(C315,customers!$A$2:$A$1001,customers!$B$2:$B$1001,0)</f>
        <v>Ailene Nesfield</v>
      </c>
      <c r="G315" s="2" t="str">
        <f>_xlfn.XLOOKUP(C315,customers!$A$2:$A$1001,customers!$C$2:$C$1001,0)</f>
        <v>anesfield8p@people.com.cn</v>
      </c>
      <c r="H315" s="2" t="str">
        <f>_xlfn.XLOOKUP(orders!C315,customers!$A$2:$A$1001,customers!$G$2:$G$1001,0)</f>
        <v>United Kingdom</v>
      </c>
      <c r="I315" t="str">
        <f>INDEX(products!$A$1:$G$49,MATCH(orders!$D315,products!$A$1:$A$49,0),MATCH($I$1,products!$A$1:$G$1,0))</f>
        <v>Rob</v>
      </c>
      <c r="J315" t="str">
        <f>INDEX(products!$A$1:$G$49,MATCH(orders!$D315,products!$A$1:$A$49,0),MATCH($J$1,products!$A$1:$G$1,0))</f>
        <v>M</v>
      </c>
      <c r="K315" s="1">
        <f>INDEX(products!$A$1:$G$49,MATCH(orders!$D315,products!$A$1:$A$49,0),MATCH($K$1,products!$A$1:$G$1,0))</f>
        <v>1</v>
      </c>
      <c r="L315">
        <f>INDEX(products!$A$1:$G$49,MATCH(orders!$D315,products!$A$1:$A$49,0),MATCH($L$1,products!$A$1:$G$1,0))</f>
        <v>9.9499999999999993</v>
      </c>
      <c r="M315">
        <f t="shared" si="13"/>
        <v>29.849999999999998</v>
      </c>
      <c r="N315" t="str">
        <f t="shared" si="14"/>
        <v>Robusta</v>
      </c>
      <c r="O315" t="str">
        <f t="shared" si="15"/>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_xlfn.XLOOKUP(C316,customers!$A$2:$A$1001,customers!$B$2:$B$1001,0)</f>
        <v>Stacy Pickworth</v>
      </c>
      <c r="G316" s="2">
        <f>_xlfn.XLOOKUP(C316,customers!$A$2:$A$1001,customers!$C$2:$C$1001,0)</f>
        <v>0</v>
      </c>
      <c r="H316" s="2" t="str">
        <f>_xlfn.XLOOKUP(orders!C316,customers!$A$2:$A$1001,customers!$G$2:$G$1001,0)</f>
        <v>United States</v>
      </c>
      <c r="I316" t="str">
        <f>INDEX(products!$A$1:$G$49,MATCH(orders!$D316,products!$A$1:$A$49,0),MATCH($I$1,products!$A$1:$G$1,0))</f>
        <v>Rob</v>
      </c>
      <c r="J316" t="str">
        <f>INDEX(products!$A$1:$G$49,MATCH(orders!$D316,products!$A$1:$A$49,0),MATCH($J$1,products!$A$1:$G$1,0))</f>
        <v>D</v>
      </c>
      <c r="K316" s="1">
        <f>INDEX(products!$A$1:$G$49,MATCH(orders!$D316,products!$A$1:$A$49,0),MATCH($K$1,products!$A$1:$G$1,0))</f>
        <v>1</v>
      </c>
      <c r="L316">
        <f>INDEX(products!$A$1:$G$49,MATCH(orders!$D316,products!$A$1:$A$49,0),MATCH($L$1,products!$A$1:$G$1,0))</f>
        <v>8.9499999999999993</v>
      </c>
      <c r="M316">
        <f t="shared" si="13"/>
        <v>44.75</v>
      </c>
      <c r="N316" t="str">
        <f t="shared" si="14"/>
        <v>Robusta</v>
      </c>
      <c r="O316" t="str">
        <f t="shared" si="15"/>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_xlfn.XLOOKUP(C317,customers!$A$2:$A$1001,customers!$B$2:$B$1001,0)</f>
        <v>Melli Brockway</v>
      </c>
      <c r="G317" s="2" t="str">
        <f>_xlfn.XLOOKUP(C317,customers!$A$2:$A$1001,customers!$C$2:$C$1001,0)</f>
        <v>mbrockway8r@ibm.com</v>
      </c>
      <c r="H317" s="2" t="str">
        <f>_xlfn.XLOOKUP(orders!C317,customers!$A$2:$A$1001,customers!$G$2:$G$1001,0)</f>
        <v>United States</v>
      </c>
      <c r="I317" t="str">
        <f>INDEX(products!$A$1:$G$49,MATCH(orders!$D317,products!$A$1:$A$49,0),MATCH($I$1,products!$A$1:$G$1,0))</f>
        <v>Exc</v>
      </c>
      <c r="J317" t="str">
        <f>INDEX(products!$A$1:$G$49,MATCH(orders!$D317,products!$A$1:$A$49,0),MATCH($J$1,products!$A$1:$G$1,0))</f>
        <v>L</v>
      </c>
      <c r="K317" s="1">
        <f>INDEX(products!$A$1:$G$49,MATCH(orders!$D317,products!$A$1:$A$49,0),MATCH($K$1,products!$A$1:$G$1,0))</f>
        <v>2.5</v>
      </c>
      <c r="L317">
        <f>INDEX(products!$A$1:$G$49,MATCH(orders!$D317,products!$A$1:$A$49,0),MATCH($L$1,products!$A$1:$G$1,0))</f>
        <v>34.154999999999994</v>
      </c>
      <c r="M317">
        <f t="shared" si="13"/>
        <v>34.154999999999994</v>
      </c>
      <c r="N317" t="str">
        <f t="shared" si="14"/>
        <v>Excelsa</v>
      </c>
      <c r="O317" t="str">
        <f t="shared" si="15"/>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_xlfn.XLOOKUP(C318,customers!$A$2:$A$1001,customers!$B$2:$B$1001,0)</f>
        <v>Nanny Lush</v>
      </c>
      <c r="G318" s="2" t="str">
        <f>_xlfn.XLOOKUP(C318,customers!$A$2:$A$1001,customers!$C$2:$C$1001,0)</f>
        <v>nlush8s@dedecms.com</v>
      </c>
      <c r="H318" s="2" t="str">
        <f>_xlfn.XLOOKUP(orders!C318,customers!$A$2:$A$1001,customers!$G$2:$G$1001,0)</f>
        <v>Ireland</v>
      </c>
      <c r="I318" t="str">
        <f>INDEX(products!$A$1:$G$49,MATCH(orders!$D318,products!$A$1:$A$49,0),MATCH($I$1,products!$A$1:$G$1,0))</f>
        <v>Exc</v>
      </c>
      <c r="J318" t="str">
        <f>INDEX(products!$A$1:$G$49,MATCH(orders!$D318,products!$A$1:$A$49,0),MATCH($J$1,products!$A$1:$G$1,0))</f>
        <v>L</v>
      </c>
      <c r="K318" s="1">
        <f>INDEX(products!$A$1:$G$49,MATCH(orders!$D318,products!$A$1:$A$49,0),MATCH($K$1,products!$A$1:$G$1,0))</f>
        <v>2.5</v>
      </c>
      <c r="L318">
        <f>INDEX(products!$A$1:$G$49,MATCH(orders!$D318,products!$A$1:$A$49,0),MATCH($L$1,products!$A$1:$G$1,0))</f>
        <v>34.154999999999994</v>
      </c>
      <c r="M318">
        <f t="shared" si="13"/>
        <v>204.92999999999995</v>
      </c>
      <c r="N318" t="str">
        <f t="shared" si="14"/>
        <v>Excelsa</v>
      </c>
      <c r="O318" t="str">
        <f t="shared" si="15"/>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_xlfn.XLOOKUP(C319,customers!$A$2:$A$1001,customers!$B$2:$B$1001,0)</f>
        <v>Selma McMillian</v>
      </c>
      <c r="G319" s="2" t="str">
        <f>_xlfn.XLOOKUP(C319,customers!$A$2:$A$1001,customers!$C$2:$C$1001,0)</f>
        <v>smcmillian8t@csmonitor.com</v>
      </c>
      <c r="H319" s="2" t="str">
        <f>_xlfn.XLOOKUP(orders!C319,customers!$A$2:$A$1001,customers!$G$2:$G$1001,0)</f>
        <v>United States</v>
      </c>
      <c r="I319" t="str">
        <f>INDEX(products!$A$1:$G$49,MATCH(orders!$D319,products!$A$1:$A$49,0),MATCH($I$1,products!$A$1:$G$1,0))</f>
        <v>Exc</v>
      </c>
      <c r="J319" t="str">
        <f>INDEX(products!$A$1:$G$49,MATCH(orders!$D319,products!$A$1:$A$49,0),MATCH($J$1,products!$A$1:$G$1,0))</f>
        <v>D</v>
      </c>
      <c r="K319" s="1">
        <f>INDEX(products!$A$1:$G$49,MATCH(orders!$D319,products!$A$1:$A$49,0),MATCH($K$1,products!$A$1:$G$1,0))</f>
        <v>0.5</v>
      </c>
      <c r="L319">
        <f>INDEX(products!$A$1:$G$49,MATCH(orders!$D319,products!$A$1:$A$49,0),MATCH($L$1,products!$A$1:$G$1,0))</f>
        <v>7.29</v>
      </c>
      <c r="M319">
        <f t="shared" si="13"/>
        <v>21.87</v>
      </c>
      <c r="N319" t="str">
        <f t="shared" si="14"/>
        <v>Excelsa</v>
      </c>
      <c r="O319" t="str">
        <f t="shared" si="15"/>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_xlfn.XLOOKUP(C320,customers!$A$2:$A$1001,customers!$B$2:$B$1001,0)</f>
        <v>Tess Bennison</v>
      </c>
      <c r="G320" s="2" t="str">
        <f>_xlfn.XLOOKUP(C320,customers!$A$2:$A$1001,customers!$C$2:$C$1001,0)</f>
        <v>tbennison8u@google.cn</v>
      </c>
      <c r="H320" s="2" t="str">
        <f>_xlfn.XLOOKUP(orders!C320,customers!$A$2:$A$1001,customers!$G$2:$G$1001,0)</f>
        <v>United States</v>
      </c>
      <c r="I320" t="str">
        <f>INDEX(products!$A$1:$G$49,MATCH(orders!$D320,products!$A$1:$A$49,0),MATCH($I$1,products!$A$1:$G$1,0))</f>
        <v>Ara</v>
      </c>
      <c r="J320" t="str">
        <f>INDEX(products!$A$1:$G$49,MATCH(orders!$D320,products!$A$1:$A$49,0),MATCH($J$1,products!$A$1:$G$1,0))</f>
        <v>M</v>
      </c>
      <c r="K320" s="1">
        <f>INDEX(products!$A$1:$G$49,MATCH(orders!$D320,products!$A$1:$A$49,0),MATCH($K$1,products!$A$1:$G$1,0))</f>
        <v>2.5</v>
      </c>
      <c r="L320">
        <f>INDEX(products!$A$1:$G$49,MATCH(orders!$D320,products!$A$1:$A$49,0),MATCH($L$1,products!$A$1:$G$1,0))</f>
        <v>25.874999999999996</v>
      </c>
      <c r="M320">
        <f t="shared" si="13"/>
        <v>51.749999999999993</v>
      </c>
      <c r="N320" t="str">
        <f t="shared" si="14"/>
        <v>Arabica</v>
      </c>
      <c r="O320" t="str">
        <f t="shared" si="15"/>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_xlfn.XLOOKUP(C321,customers!$A$2:$A$1001,customers!$B$2:$B$1001,0)</f>
        <v>Gabie Tweed</v>
      </c>
      <c r="G321" s="2" t="str">
        <f>_xlfn.XLOOKUP(C321,customers!$A$2:$A$1001,customers!$C$2:$C$1001,0)</f>
        <v>gtweed8v@yolasite.com</v>
      </c>
      <c r="H321" s="2" t="str">
        <f>_xlfn.XLOOKUP(orders!C321,customers!$A$2:$A$1001,customers!$G$2:$G$1001,0)</f>
        <v>United States</v>
      </c>
      <c r="I321" t="str">
        <f>INDEX(products!$A$1:$G$49,MATCH(orders!$D321,products!$A$1:$A$49,0),MATCH($I$1,products!$A$1:$G$1,0))</f>
        <v>Exc</v>
      </c>
      <c r="J321" t="str">
        <f>INDEX(products!$A$1:$G$49,MATCH(orders!$D321,products!$A$1:$A$49,0),MATCH($J$1,products!$A$1:$G$1,0))</f>
        <v>M</v>
      </c>
      <c r="K321" s="1">
        <f>INDEX(products!$A$1:$G$49,MATCH(orders!$D321,products!$A$1:$A$49,0),MATCH($K$1,products!$A$1:$G$1,0))</f>
        <v>0.2</v>
      </c>
      <c r="L321">
        <f>INDEX(products!$A$1:$G$49,MATCH(orders!$D321,products!$A$1:$A$49,0),MATCH($L$1,products!$A$1:$G$1,0))</f>
        <v>4.125</v>
      </c>
      <c r="M321">
        <f t="shared" si="13"/>
        <v>8.25</v>
      </c>
      <c r="N321" t="str">
        <f t="shared" si="14"/>
        <v>Excelsa</v>
      </c>
      <c r="O321" t="str">
        <f t="shared" si="15"/>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_xlfn.XLOOKUP(C322,customers!$A$2:$A$1001,customers!$B$2:$B$1001,0)</f>
        <v>Gabie Tweed</v>
      </c>
      <c r="G322" s="2" t="str">
        <f>_xlfn.XLOOKUP(C322,customers!$A$2:$A$1001,customers!$C$2:$C$1001,0)</f>
        <v>gtweed8v@yolasite.com</v>
      </c>
      <c r="H322" s="2" t="str">
        <f>_xlfn.XLOOKUP(orders!C322,customers!$A$2:$A$1001,customers!$G$2:$G$1001,0)</f>
        <v>United States</v>
      </c>
      <c r="I322" t="str">
        <f>INDEX(products!$A$1:$G$49,MATCH(orders!$D322,products!$A$1:$A$49,0),MATCH($I$1,products!$A$1:$G$1,0))</f>
        <v>Ara</v>
      </c>
      <c r="J322" t="str">
        <f>INDEX(products!$A$1:$G$49,MATCH(orders!$D322,products!$A$1:$A$49,0),MATCH($J$1,products!$A$1:$G$1,0))</f>
        <v>L</v>
      </c>
      <c r="K322" s="1">
        <f>INDEX(products!$A$1:$G$49,MATCH(orders!$D322,products!$A$1:$A$49,0),MATCH($K$1,products!$A$1:$G$1,0))</f>
        <v>0.2</v>
      </c>
      <c r="L322">
        <f>INDEX(products!$A$1:$G$49,MATCH(orders!$D322,products!$A$1:$A$49,0),MATCH($L$1,products!$A$1:$G$1,0))</f>
        <v>3.8849999999999998</v>
      </c>
      <c r="M322">
        <f t="shared" si="13"/>
        <v>19.424999999999997</v>
      </c>
      <c r="N322" t="str">
        <f t="shared" si="14"/>
        <v>Arabica</v>
      </c>
      <c r="O322" t="str">
        <f t="shared" si="15"/>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_xlfn.XLOOKUP(C323,customers!$A$2:$A$1001,customers!$B$2:$B$1001,0)</f>
        <v>Gaile Goggin</v>
      </c>
      <c r="G323" s="2" t="str">
        <f>_xlfn.XLOOKUP(C323,customers!$A$2:$A$1001,customers!$C$2:$C$1001,0)</f>
        <v>ggoggin8x@wix.com</v>
      </c>
      <c r="H323" s="2" t="str">
        <f>_xlfn.XLOOKUP(orders!C323,customers!$A$2:$A$1001,customers!$G$2:$G$1001,0)</f>
        <v>Ireland</v>
      </c>
      <c r="I323" t="str">
        <f>INDEX(products!$A$1:$G$49,MATCH(orders!$D323,products!$A$1:$A$49,0),MATCH($I$1,products!$A$1:$G$1,0))</f>
        <v>Ara</v>
      </c>
      <c r="J323" t="str">
        <f>INDEX(products!$A$1:$G$49,MATCH(orders!$D323,products!$A$1:$A$49,0),MATCH($J$1,products!$A$1:$G$1,0))</f>
        <v>M</v>
      </c>
      <c r="K323" s="1">
        <f>INDEX(products!$A$1:$G$49,MATCH(orders!$D323,products!$A$1:$A$49,0),MATCH($K$1,products!$A$1:$G$1,0))</f>
        <v>0.2</v>
      </c>
      <c r="L323">
        <f>INDEX(products!$A$1:$G$49,MATCH(orders!$D323,products!$A$1:$A$49,0),MATCH($L$1,products!$A$1:$G$1,0))</f>
        <v>3.375</v>
      </c>
      <c r="M323">
        <f t="shared" ref="M323:M386" si="16">L323*E323</f>
        <v>20.25</v>
      </c>
      <c r="N323" t="str">
        <f t="shared" ref="N323:N386" si="17">IF(I323="Rob","Robusta",IF(I323="Exc","Excelsa",IF(I323="Ara","Arabica",IF(I323="Lib","Liberica",""))))</f>
        <v>Arabica</v>
      </c>
      <c r="O323" t="str">
        <f t="shared" ref="O323:O386" si="18">IF(J323="M", "Medium", IF(J323="L","Light", IF(J323="D", "Dark","")))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_xlfn.XLOOKUP(C324,customers!$A$2:$A$1001,customers!$B$2:$B$1001,0)</f>
        <v>Skylar Jeyness</v>
      </c>
      <c r="G324" s="2" t="str">
        <f>_xlfn.XLOOKUP(C324,customers!$A$2:$A$1001,customers!$C$2:$C$1001,0)</f>
        <v>sjeyness8y@biglobe.ne.jp</v>
      </c>
      <c r="H324" s="2" t="str">
        <f>_xlfn.XLOOKUP(orders!C324,customers!$A$2:$A$1001,customers!$G$2:$G$1001,0)</f>
        <v>Ireland</v>
      </c>
      <c r="I324" t="str">
        <f>INDEX(products!$A$1:$G$49,MATCH(orders!$D324,products!$A$1:$A$49,0),MATCH($I$1,products!$A$1:$G$1,0))</f>
        <v>Lib</v>
      </c>
      <c r="J324" t="str">
        <f>INDEX(products!$A$1:$G$49,MATCH(orders!$D324,products!$A$1:$A$49,0),MATCH($J$1,products!$A$1:$G$1,0))</f>
        <v>D</v>
      </c>
      <c r="K324" s="1">
        <f>INDEX(products!$A$1:$G$49,MATCH(orders!$D324,products!$A$1:$A$49,0),MATCH($K$1,products!$A$1:$G$1,0))</f>
        <v>0.5</v>
      </c>
      <c r="L324">
        <f>INDEX(products!$A$1:$G$49,MATCH(orders!$D324,products!$A$1:$A$49,0),MATCH($L$1,products!$A$1:$G$1,0))</f>
        <v>7.77</v>
      </c>
      <c r="M324">
        <f t="shared" si="16"/>
        <v>23.31</v>
      </c>
      <c r="N324" t="str">
        <f t="shared" si="17"/>
        <v>Liberica</v>
      </c>
      <c r="O324" t="str">
        <f t="shared" si="18"/>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_xlfn.XLOOKUP(C325,customers!$A$2:$A$1001,customers!$B$2:$B$1001,0)</f>
        <v>Donica Bonhome</v>
      </c>
      <c r="G325" s="2" t="str">
        <f>_xlfn.XLOOKUP(C325,customers!$A$2:$A$1001,customers!$C$2:$C$1001,0)</f>
        <v>dbonhome8z@shinystat.com</v>
      </c>
      <c r="H325" s="2" t="str">
        <f>_xlfn.XLOOKUP(orders!C325,customers!$A$2:$A$1001,customers!$G$2:$G$1001,0)</f>
        <v>United States</v>
      </c>
      <c r="I325" t="str">
        <f>INDEX(products!$A$1:$G$49,MATCH(orders!$D325,products!$A$1:$A$49,0),MATCH($I$1,products!$A$1:$G$1,0))</f>
        <v>Exc</v>
      </c>
      <c r="J325" t="str">
        <f>INDEX(products!$A$1:$G$49,MATCH(orders!$D325,products!$A$1:$A$49,0),MATCH($J$1,products!$A$1:$G$1,0))</f>
        <v>D</v>
      </c>
      <c r="K325" s="1">
        <f>INDEX(products!$A$1:$G$49,MATCH(orders!$D325,products!$A$1:$A$49,0),MATCH($K$1,products!$A$1:$G$1,0))</f>
        <v>0.2</v>
      </c>
      <c r="L325">
        <f>INDEX(products!$A$1:$G$49,MATCH(orders!$D325,products!$A$1:$A$49,0),MATCH($L$1,products!$A$1:$G$1,0))</f>
        <v>3.645</v>
      </c>
      <c r="M325">
        <f t="shared" si="16"/>
        <v>18.225000000000001</v>
      </c>
      <c r="N325" t="str">
        <f t="shared" si="17"/>
        <v>Excelsa</v>
      </c>
      <c r="O325" t="str">
        <f t="shared" si="18"/>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_xlfn.XLOOKUP(C326,customers!$A$2:$A$1001,customers!$B$2:$B$1001,0)</f>
        <v>Diena Peetermann</v>
      </c>
      <c r="G326" s="2">
        <f>_xlfn.XLOOKUP(C326,customers!$A$2:$A$1001,customers!$C$2:$C$1001,0)</f>
        <v>0</v>
      </c>
      <c r="H326" s="2" t="str">
        <f>_xlfn.XLOOKUP(orders!C326,customers!$A$2:$A$1001,customers!$G$2:$G$1001,0)</f>
        <v>United States</v>
      </c>
      <c r="I326" t="str">
        <f>INDEX(products!$A$1:$G$49,MATCH(orders!$D326,products!$A$1:$A$49,0),MATCH($I$1,products!$A$1:$G$1,0))</f>
        <v>Exc</v>
      </c>
      <c r="J326" t="str">
        <f>INDEX(products!$A$1:$G$49,MATCH(orders!$D326,products!$A$1:$A$49,0),MATCH($J$1,products!$A$1:$G$1,0))</f>
        <v>M</v>
      </c>
      <c r="K326" s="1">
        <f>INDEX(products!$A$1:$G$49,MATCH(orders!$D326,products!$A$1:$A$49,0),MATCH($K$1,products!$A$1:$G$1,0))</f>
        <v>1</v>
      </c>
      <c r="L326">
        <f>INDEX(products!$A$1:$G$49,MATCH(orders!$D326,products!$A$1:$A$49,0),MATCH($L$1,products!$A$1:$G$1,0))</f>
        <v>13.75</v>
      </c>
      <c r="M326">
        <f t="shared" si="16"/>
        <v>13.75</v>
      </c>
      <c r="N326" t="str">
        <f t="shared" si="17"/>
        <v>Excelsa</v>
      </c>
      <c r="O326" t="str">
        <f t="shared" si="18"/>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_xlfn.XLOOKUP(C327,customers!$A$2:$A$1001,customers!$B$2:$B$1001,0)</f>
        <v>Trina Le Sarr</v>
      </c>
      <c r="G327" s="2" t="str">
        <f>_xlfn.XLOOKUP(C327,customers!$A$2:$A$1001,customers!$C$2:$C$1001,0)</f>
        <v>tle91@epa.gov</v>
      </c>
      <c r="H327" s="2" t="str">
        <f>_xlfn.XLOOKUP(orders!C327,customers!$A$2:$A$1001,customers!$G$2:$G$1001,0)</f>
        <v>United States</v>
      </c>
      <c r="I327" t="str">
        <f>INDEX(products!$A$1:$G$49,MATCH(orders!$D327,products!$A$1:$A$49,0),MATCH($I$1,products!$A$1:$G$1,0))</f>
        <v>Ara</v>
      </c>
      <c r="J327" t="str">
        <f>INDEX(products!$A$1:$G$49,MATCH(orders!$D327,products!$A$1:$A$49,0),MATCH($J$1,products!$A$1:$G$1,0))</f>
        <v>L</v>
      </c>
      <c r="K327" s="1">
        <f>INDEX(products!$A$1:$G$49,MATCH(orders!$D327,products!$A$1:$A$49,0),MATCH($K$1,products!$A$1:$G$1,0))</f>
        <v>2.5</v>
      </c>
      <c r="L327">
        <f>INDEX(products!$A$1:$G$49,MATCH(orders!$D327,products!$A$1:$A$49,0),MATCH($L$1,products!$A$1:$G$1,0))</f>
        <v>29.784999999999997</v>
      </c>
      <c r="M327">
        <f t="shared" si="16"/>
        <v>29.784999999999997</v>
      </c>
      <c r="N327" t="str">
        <f t="shared" si="17"/>
        <v>Arabica</v>
      </c>
      <c r="O327" t="str">
        <f t="shared" si="18"/>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_xlfn.XLOOKUP(C328,customers!$A$2:$A$1001,customers!$B$2:$B$1001,0)</f>
        <v>Flynn Antony</v>
      </c>
      <c r="G328" s="2">
        <f>_xlfn.XLOOKUP(C328,customers!$A$2:$A$1001,customers!$C$2:$C$1001,0)</f>
        <v>0</v>
      </c>
      <c r="H328" s="2" t="str">
        <f>_xlfn.XLOOKUP(orders!C328,customers!$A$2:$A$1001,customers!$G$2:$G$1001,0)</f>
        <v>United States</v>
      </c>
      <c r="I328" t="str">
        <f>INDEX(products!$A$1:$G$49,MATCH(orders!$D328,products!$A$1:$A$49,0),MATCH($I$1,products!$A$1:$G$1,0))</f>
        <v>Rob</v>
      </c>
      <c r="J328" t="str">
        <f>INDEX(products!$A$1:$G$49,MATCH(orders!$D328,products!$A$1:$A$49,0),MATCH($J$1,products!$A$1:$G$1,0))</f>
        <v>D</v>
      </c>
      <c r="K328" s="1">
        <f>INDEX(products!$A$1:$G$49,MATCH(orders!$D328,products!$A$1:$A$49,0),MATCH($K$1,products!$A$1:$G$1,0))</f>
        <v>1</v>
      </c>
      <c r="L328">
        <f>INDEX(products!$A$1:$G$49,MATCH(orders!$D328,products!$A$1:$A$49,0),MATCH($L$1,products!$A$1:$G$1,0))</f>
        <v>8.9499999999999993</v>
      </c>
      <c r="M328">
        <f t="shared" si="16"/>
        <v>44.75</v>
      </c>
      <c r="N328" t="str">
        <f t="shared" si="17"/>
        <v>Robusta</v>
      </c>
      <c r="O328" t="str">
        <f t="shared" si="18"/>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_xlfn.XLOOKUP(C329,customers!$A$2:$A$1001,customers!$B$2:$B$1001,0)</f>
        <v>Baudoin Alldridge</v>
      </c>
      <c r="G329" s="2" t="str">
        <f>_xlfn.XLOOKUP(C329,customers!$A$2:$A$1001,customers!$C$2:$C$1001,0)</f>
        <v>balldridge93@yandex.ru</v>
      </c>
      <c r="H329" s="2" t="str">
        <f>_xlfn.XLOOKUP(orders!C329,customers!$A$2:$A$1001,customers!$G$2:$G$1001,0)</f>
        <v>United States</v>
      </c>
      <c r="I329" t="str">
        <f>INDEX(products!$A$1:$G$49,MATCH(orders!$D329,products!$A$1:$A$49,0),MATCH($I$1,products!$A$1:$G$1,0))</f>
        <v>Rob</v>
      </c>
      <c r="J329" t="str">
        <f>INDEX(products!$A$1:$G$49,MATCH(orders!$D329,products!$A$1:$A$49,0),MATCH($J$1,products!$A$1:$G$1,0))</f>
        <v>D</v>
      </c>
      <c r="K329" s="1">
        <f>INDEX(products!$A$1:$G$49,MATCH(orders!$D329,products!$A$1:$A$49,0),MATCH($K$1,products!$A$1:$G$1,0))</f>
        <v>1</v>
      </c>
      <c r="L329">
        <f>INDEX(products!$A$1:$G$49,MATCH(orders!$D329,products!$A$1:$A$49,0),MATCH($L$1,products!$A$1:$G$1,0))</f>
        <v>8.9499999999999993</v>
      </c>
      <c r="M329">
        <f t="shared" si="16"/>
        <v>44.75</v>
      </c>
      <c r="N329" t="str">
        <f t="shared" si="17"/>
        <v>Robusta</v>
      </c>
      <c r="O329" t="str">
        <f t="shared" si="18"/>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_xlfn.XLOOKUP(C330,customers!$A$2:$A$1001,customers!$B$2:$B$1001,0)</f>
        <v>Homer Dulany</v>
      </c>
      <c r="G330" s="2">
        <f>_xlfn.XLOOKUP(C330,customers!$A$2:$A$1001,customers!$C$2:$C$1001,0)</f>
        <v>0</v>
      </c>
      <c r="H330" s="2" t="str">
        <f>_xlfn.XLOOKUP(orders!C330,customers!$A$2:$A$1001,customers!$G$2:$G$1001,0)</f>
        <v>United States</v>
      </c>
      <c r="I330" t="str">
        <f>INDEX(products!$A$1:$G$49,MATCH(orders!$D330,products!$A$1:$A$49,0),MATCH($I$1,products!$A$1:$G$1,0))</f>
        <v>Lib</v>
      </c>
      <c r="J330" t="str">
        <f>INDEX(products!$A$1:$G$49,MATCH(orders!$D330,products!$A$1:$A$49,0),MATCH($J$1,products!$A$1:$G$1,0))</f>
        <v>L</v>
      </c>
      <c r="K330" s="1">
        <f>INDEX(products!$A$1:$G$49,MATCH(orders!$D330,products!$A$1:$A$49,0),MATCH($K$1,products!$A$1:$G$1,0))</f>
        <v>0.5</v>
      </c>
      <c r="L330">
        <f>INDEX(products!$A$1:$G$49,MATCH(orders!$D330,products!$A$1:$A$49,0),MATCH($L$1,products!$A$1:$G$1,0))</f>
        <v>9.51</v>
      </c>
      <c r="M330">
        <f t="shared" si="16"/>
        <v>38.04</v>
      </c>
      <c r="N330" t="str">
        <f t="shared" si="17"/>
        <v>Liberica</v>
      </c>
      <c r="O330" t="str">
        <f t="shared" si="18"/>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_xlfn.XLOOKUP(C331,customers!$A$2:$A$1001,customers!$B$2:$B$1001,0)</f>
        <v>Lisa Goodger</v>
      </c>
      <c r="G331" s="2" t="str">
        <f>_xlfn.XLOOKUP(C331,customers!$A$2:$A$1001,customers!$C$2:$C$1001,0)</f>
        <v>lgoodger95@guardian.co.uk</v>
      </c>
      <c r="H331" s="2" t="str">
        <f>_xlfn.XLOOKUP(orders!C331,customers!$A$2:$A$1001,customers!$G$2:$G$1001,0)</f>
        <v>United States</v>
      </c>
      <c r="I331" t="str">
        <f>INDEX(products!$A$1:$G$49,MATCH(orders!$D331,products!$A$1:$A$49,0),MATCH($I$1,products!$A$1:$G$1,0))</f>
        <v>Rob</v>
      </c>
      <c r="J331" t="str">
        <f>INDEX(products!$A$1:$G$49,MATCH(orders!$D331,products!$A$1:$A$49,0),MATCH($J$1,products!$A$1:$G$1,0))</f>
        <v>D</v>
      </c>
      <c r="K331" s="1">
        <f>INDEX(products!$A$1:$G$49,MATCH(orders!$D331,products!$A$1:$A$49,0),MATCH($K$1,products!$A$1:$G$1,0))</f>
        <v>0.5</v>
      </c>
      <c r="L331">
        <f>INDEX(products!$A$1:$G$49,MATCH(orders!$D331,products!$A$1:$A$49,0),MATCH($L$1,products!$A$1:$G$1,0))</f>
        <v>5.3699999999999992</v>
      </c>
      <c r="M331">
        <f t="shared" si="16"/>
        <v>21.479999999999997</v>
      </c>
      <c r="N331" t="str">
        <f t="shared" si="17"/>
        <v>Robusta</v>
      </c>
      <c r="O331" t="str">
        <f t="shared" si="18"/>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_xlfn.XLOOKUP(C332,customers!$A$2:$A$1001,customers!$B$2:$B$1001,0)</f>
        <v>Selma McMillian</v>
      </c>
      <c r="G332" s="2" t="str">
        <f>_xlfn.XLOOKUP(C332,customers!$A$2:$A$1001,customers!$C$2:$C$1001,0)</f>
        <v>smcmillian8t@csmonitor.com</v>
      </c>
      <c r="H332" s="2" t="str">
        <f>_xlfn.XLOOKUP(orders!C332,customers!$A$2:$A$1001,customers!$G$2:$G$1001,0)</f>
        <v>United States</v>
      </c>
      <c r="I332" t="str">
        <f>INDEX(products!$A$1:$G$49,MATCH(orders!$D332,products!$A$1:$A$49,0),MATCH($I$1,products!$A$1:$G$1,0))</f>
        <v>Rob</v>
      </c>
      <c r="J332" t="str">
        <f>INDEX(products!$A$1:$G$49,MATCH(orders!$D332,products!$A$1:$A$49,0),MATCH($J$1,products!$A$1:$G$1,0))</f>
        <v>D</v>
      </c>
      <c r="K332" s="1">
        <f>INDEX(products!$A$1:$G$49,MATCH(orders!$D332,products!$A$1:$A$49,0),MATCH($K$1,products!$A$1:$G$1,0))</f>
        <v>0.5</v>
      </c>
      <c r="L332">
        <f>INDEX(products!$A$1:$G$49,MATCH(orders!$D332,products!$A$1:$A$49,0),MATCH($L$1,products!$A$1:$G$1,0))</f>
        <v>5.3699999999999992</v>
      </c>
      <c r="M332">
        <f t="shared" si="16"/>
        <v>16.11</v>
      </c>
      <c r="N332" t="str">
        <f t="shared" si="17"/>
        <v>Robusta</v>
      </c>
      <c r="O332" t="str">
        <f t="shared" si="18"/>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_xlfn.XLOOKUP(C333,customers!$A$2:$A$1001,customers!$B$2:$B$1001,0)</f>
        <v>Corine Drewett</v>
      </c>
      <c r="G333" s="2" t="str">
        <f>_xlfn.XLOOKUP(C333,customers!$A$2:$A$1001,customers!$C$2:$C$1001,0)</f>
        <v>cdrewett97@wikipedia.org</v>
      </c>
      <c r="H333" s="2" t="str">
        <f>_xlfn.XLOOKUP(orders!C333,customers!$A$2:$A$1001,customers!$G$2:$G$1001,0)</f>
        <v>United States</v>
      </c>
      <c r="I333" t="str">
        <f>INDEX(products!$A$1:$G$49,MATCH(orders!$D333,products!$A$1:$A$49,0),MATCH($I$1,products!$A$1:$G$1,0))</f>
        <v>Rob</v>
      </c>
      <c r="J333" t="str">
        <f>INDEX(products!$A$1:$G$49,MATCH(orders!$D333,products!$A$1:$A$49,0),MATCH($J$1,products!$A$1:$G$1,0))</f>
        <v>M</v>
      </c>
      <c r="K333" s="1">
        <f>INDEX(products!$A$1:$G$49,MATCH(orders!$D333,products!$A$1:$A$49,0),MATCH($K$1,products!$A$1:$G$1,0))</f>
        <v>2.5</v>
      </c>
      <c r="L333">
        <f>INDEX(products!$A$1:$G$49,MATCH(orders!$D333,products!$A$1:$A$49,0),MATCH($L$1,products!$A$1:$G$1,0))</f>
        <v>22.884999999999998</v>
      </c>
      <c r="M333">
        <f t="shared" si="16"/>
        <v>22.884999999999998</v>
      </c>
      <c r="N333" t="str">
        <f t="shared" si="17"/>
        <v>Robusta</v>
      </c>
      <c r="O333" t="str">
        <f t="shared" si="18"/>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_xlfn.XLOOKUP(C334,customers!$A$2:$A$1001,customers!$B$2:$B$1001,0)</f>
        <v>Quinn Parsons</v>
      </c>
      <c r="G334" s="2" t="str">
        <f>_xlfn.XLOOKUP(C334,customers!$A$2:$A$1001,customers!$C$2:$C$1001,0)</f>
        <v>qparsons98@blogtalkradio.com</v>
      </c>
      <c r="H334" s="2" t="str">
        <f>_xlfn.XLOOKUP(orders!C334,customers!$A$2:$A$1001,customers!$G$2:$G$1001,0)</f>
        <v>United States</v>
      </c>
      <c r="I334" t="str">
        <f>INDEX(products!$A$1:$G$49,MATCH(orders!$D334,products!$A$1:$A$49,0),MATCH($I$1,products!$A$1:$G$1,0))</f>
        <v>Ara</v>
      </c>
      <c r="J334" t="str">
        <f>INDEX(products!$A$1:$G$49,MATCH(orders!$D334,products!$A$1:$A$49,0),MATCH($J$1,products!$A$1:$G$1,0))</f>
        <v>D</v>
      </c>
      <c r="K334" s="1">
        <f>INDEX(products!$A$1:$G$49,MATCH(orders!$D334,products!$A$1:$A$49,0),MATCH($K$1,products!$A$1:$G$1,0))</f>
        <v>0.5</v>
      </c>
      <c r="L334">
        <f>INDEX(products!$A$1:$G$49,MATCH(orders!$D334,products!$A$1:$A$49,0),MATCH($L$1,products!$A$1:$G$1,0))</f>
        <v>5.97</v>
      </c>
      <c r="M334">
        <f t="shared" si="16"/>
        <v>17.91</v>
      </c>
      <c r="N334" t="str">
        <f t="shared" si="17"/>
        <v>Arabica</v>
      </c>
      <c r="O334" t="str">
        <f t="shared" si="18"/>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_xlfn.XLOOKUP(C335,customers!$A$2:$A$1001,customers!$B$2:$B$1001,0)</f>
        <v>Vivyan Ceely</v>
      </c>
      <c r="G335" s="2" t="str">
        <f>_xlfn.XLOOKUP(C335,customers!$A$2:$A$1001,customers!$C$2:$C$1001,0)</f>
        <v>vceely99@auda.org.au</v>
      </c>
      <c r="H335" s="2" t="str">
        <f>_xlfn.XLOOKUP(orders!C335,customers!$A$2:$A$1001,customers!$G$2:$G$1001,0)</f>
        <v>United States</v>
      </c>
      <c r="I335" t="str">
        <f>INDEX(products!$A$1:$G$49,MATCH(orders!$D335,products!$A$1:$A$49,0),MATCH($I$1,products!$A$1:$G$1,0))</f>
        <v>Rob</v>
      </c>
      <c r="J335" t="str">
        <f>INDEX(products!$A$1:$G$49,MATCH(orders!$D335,products!$A$1:$A$49,0),MATCH($J$1,products!$A$1:$G$1,0))</f>
        <v>M</v>
      </c>
      <c r="K335" s="1">
        <f>INDEX(products!$A$1:$G$49,MATCH(orders!$D335,products!$A$1:$A$49,0),MATCH($K$1,products!$A$1:$G$1,0))</f>
        <v>0.5</v>
      </c>
      <c r="L335">
        <f>INDEX(products!$A$1:$G$49,MATCH(orders!$D335,products!$A$1:$A$49,0),MATCH($L$1,products!$A$1:$G$1,0))</f>
        <v>5.97</v>
      </c>
      <c r="M335">
        <f t="shared" si="16"/>
        <v>23.88</v>
      </c>
      <c r="N335" t="str">
        <f t="shared" si="17"/>
        <v>Robusta</v>
      </c>
      <c r="O335" t="str">
        <f t="shared" si="18"/>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_xlfn.XLOOKUP(C336,customers!$A$2:$A$1001,customers!$B$2:$B$1001,0)</f>
        <v>Elonore Goodings</v>
      </c>
      <c r="G336" s="2">
        <f>_xlfn.XLOOKUP(C336,customers!$A$2:$A$1001,customers!$C$2:$C$1001,0)</f>
        <v>0</v>
      </c>
      <c r="H336" s="2" t="str">
        <f>_xlfn.XLOOKUP(orders!C336,customers!$A$2:$A$1001,customers!$G$2:$G$1001,0)</f>
        <v>United States</v>
      </c>
      <c r="I336" t="str">
        <f>INDEX(products!$A$1:$G$49,MATCH(orders!$D336,products!$A$1:$A$49,0),MATCH($I$1,products!$A$1:$G$1,0))</f>
        <v>Rob</v>
      </c>
      <c r="J336" t="str">
        <f>INDEX(products!$A$1:$G$49,MATCH(orders!$D336,products!$A$1:$A$49,0),MATCH($J$1,products!$A$1:$G$1,0))</f>
        <v>L</v>
      </c>
      <c r="K336" s="1">
        <f>INDEX(products!$A$1:$G$49,MATCH(orders!$D336,products!$A$1:$A$49,0),MATCH($K$1,products!$A$1:$G$1,0))</f>
        <v>1</v>
      </c>
      <c r="L336">
        <f>INDEX(products!$A$1:$G$49,MATCH(orders!$D336,products!$A$1:$A$49,0),MATCH($L$1,products!$A$1:$G$1,0))</f>
        <v>11.95</v>
      </c>
      <c r="M336">
        <f t="shared" si="16"/>
        <v>59.75</v>
      </c>
      <c r="N336" t="str">
        <f t="shared" si="17"/>
        <v>Robusta</v>
      </c>
      <c r="O336" t="str">
        <f t="shared" si="18"/>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_xlfn.XLOOKUP(C337,customers!$A$2:$A$1001,customers!$B$2:$B$1001,0)</f>
        <v>Clement Vasiliev</v>
      </c>
      <c r="G337" s="2" t="str">
        <f>_xlfn.XLOOKUP(C337,customers!$A$2:$A$1001,customers!$C$2:$C$1001,0)</f>
        <v>cvasiliev9b@discuz.net</v>
      </c>
      <c r="H337" s="2" t="str">
        <f>_xlfn.XLOOKUP(orders!C337,customers!$A$2:$A$1001,customers!$G$2:$G$1001,0)</f>
        <v>United States</v>
      </c>
      <c r="I337" t="str">
        <f>INDEX(products!$A$1:$G$49,MATCH(orders!$D337,products!$A$1:$A$49,0),MATCH($I$1,products!$A$1:$G$1,0))</f>
        <v>Lib</v>
      </c>
      <c r="J337" t="str">
        <f>INDEX(products!$A$1:$G$49,MATCH(orders!$D337,products!$A$1:$A$49,0),MATCH($J$1,products!$A$1:$G$1,0))</f>
        <v>L</v>
      </c>
      <c r="K337" s="1">
        <f>INDEX(products!$A$1:$G$49,MATCH(orders!$D337,products!$A$1:$A$49,0),MATCH($K$1,products!$A$1:$G$1,0))</f>
        <v>0.2</v>
      </c>
      <c r="L337">
        <f>INDEX(products!$A$1:$G$49,MATCH(orders!$D337,products!$A$1:$A$49,0),MATCH($L$1,products!$A$1:$G$1,0))</f>
        <v>4.7549999999999999</v>
      </c>
      <c r="M337">
        <f t="shared" si="16"/>
        <v>28.53</v>
      </c>
      <c r="N337" t="str">
        <f t="shared" si="17"/>
        <v>Liberica</v>
      </c>
      <c r="O337" t="str">
        <f t="shared" si="18"/>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_xlfn.XLOOKUP(C338,customers!$A$2:$A$1001,customers!$B$2:$B$1001,0)</f>
        <v>Terencio O'Moylan</v>
      </c>
      <c r="G338" s="2" t="str">
        <f>_xlfn.XLOOKUP(C338,customers!$A$2:$A$1001,customers!$C$2:$C$1001,0)</f>
        <v>tomoylan9c@liveinternet.ru</v>
      </c>
      <c r="H338" s="2" t="str">
        <f>_xlfn.XLOOKUP(orders!C338,customers!$A$2:$A$1001,customers!$G$2:$G$1001,0)</f>
        <v>United Kingdom</v>
      </c>
      <c r="I338" t="str">
        <f>INDEX(products!$A$1:$G$49,MATCH(orders!$D338,products!$A$1:$A$49,0),MATCH($I$1,products!$A$1:$G$1,0))</f>
        <v>Ara</v>
      </c>
      <c r="J338" t="str">
        <f>INDEX(products!$A$1:$G$49,MATCH(orders!$D338,products!$A$1:$A$49,0),MATCH($J$1,products!$A$1:$G$1,0))</f>
        <v>M</v>
      </c>
      <c r="K338" s="1">
        <f>INDEX(products!$A$1:$G$49,MATCH(orders!$D338,products!$A$1:$A$49,0),MATCH($K$1,products!$A$1:$G$1,0))</f>
        <v>1</v>
      </c>
      <c r="L338">
        <f>INDEX(products!$A$1:$G$49,MATCH(orders!$D338,products!$A$1:$A$49,0),MATCH($L$1,products!$A$1:$G$1,0))</f>
        <v>11.25</v>
      </c>
      <c r="M338">
        <f t="shared" si="16"/>
        <v>45</v>
      </c>
      <c r="N338" t="str">
        <f t="shared" si="17"/>
        <v>Arabica</v>
      </c>
      <c r="O338" t="str">
        <f t="shared" si="18"/>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_xlfn.XLOOKUP(C339,customers!$A$2:$A$1001,customers!$B$2:$B$1001,0)</f>
        <v>Flynn Antony</v>
      </c>
      <c r="G339" s="2">
        <f>_xlfn.XLOOKUP(C339,customers!$A$2:$A$1001,customers!$C$2:$C$1001,0)</f>
        <v>0</v>
      </c>
      <c r="H339" s="2" t="str">
        <f>_xlfn.XLOOKUP(orders!C339,customers!$A$2:$A$1001,customers!$G$2:$G$1001,0)</f>
        <v>United States</v>
      </c>
      <c r="I339" t="str">
        <f>INDEX(products!$A$1:$G$49,MATCH(orders!$D339,products!$A$1:$A$49,0),MATCH($I$1,products!$A$1:$G$1,0))</f>
        <v>Exc</v>
      </c>
      <c r="J339" t="str">
        <f>INDEX(products!$A$1:$G$49,MATCH(orders!$D339,products!$A$1:$A$49,0),MATCH($J$1,products!$A$1:$G$1,0))</f>
        <v>D</v>
      </c>
      <c r="K339" s="1">
        <f>INDEX(products!$A$1:$G$49,MATCH(orders!$D339,products!$A$1:$A$49,0),MATCH($K$1,products!$A$1:$G$1,0))</f>
        <v>2.5</v>
      </c>
      <c r="L339">
        <f>INDEX(products!$A$1:$G$49,MATCH(orders!$D339,products!$A$1:$A$49,0),MATCH($L$1,products!$A$1:$G$1,0))</f>
        <v>27.945</v>
      </c>
      <c r="M339">
        <f t="shared" si="16"/>
        <v>55.89</v>
      </c>
      <c r="N339" t="str">
        <f t="shared" si="17"/>
        <v>Excelsa</v>
      </c>
      <c r="O339" t="str">
        <f t="shared" si="18"/>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_xlfn.XLOOKUP(C340,customers!$A$2:$A$1001,customers!$B$2:$B$1001,0)</f>
        <v>Wyatan Fetherston</v>
      </c>
      <c r="G340" s="2" t="str">
        <f>_xlfn.XLOOKUP(C340,customers!$A$2:$A$1001,customers!$C$2:$C$1001,0)</f>
        <v>wfetherston9e@constantcontact.com</v>
      </c>
      <c r="H340" s="2" t="str">
        <f>_xlfn.XLOOKUP(orders!C340,customers!$A$2:$A$1001,customers!$G$2:$G$1001,0)</f>
        <v>United States</v>
      </c>
      <c r="I340" t="str">
        <f>INDEX(products!$A$1:$G$49,MATCH(orders!$D340,products!$A$1:$A$49,0),MATCH($I$1,products!$A$1:$G$1,0))</f>
        <v>Exc</v>
      </c>
      <c r="J340" t="str">
        <f>INDEX(products!$A$1:$G$49,MATCH(orders!$D340,products!$A$1:$A$49,0),MATCH($J$1,products!$A$1:$G$1,0))</f>
        <v>L</v>
      </c>
      <c r="K340" s="1">
        <f>INDEX(products!$A$1:$G$49,MATCH(orders!$D340,products!$A$1:$A$49,0),MATCH($K$1,products!$A$1:$G$1,0))</f>
        <v>1</v>
      </c>
      <c r="L340">
        <f>INDEX(products!$A$1:$G$49,MATCH(orders!$D340,products!$A$1:$A$49,0),MATCH($L$1,products!$A$1:$G$1,0))</f>
        <v>14.85</v>
      </c>
      <c r="M340">
        <f t="shared" si="16"/>
        <v>59.4</v>
      </c>
      <c r="N340" t="str">
        <f t="shared" si="17"/>
        <v>Excelsa</v>
      </c>
      <c r="O340" t="str">
        <f t="shared" si="18"/>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_xlfn.XLOOKUP(C341,customers!$A$2:$A$1001,customers!$B$2:$B$1001,0)</f>
        <v>Emmaline Rasmus</v>
      </c>
      <c r="G341" s="2" t="str">
        <f>_xlfn.XLOOKUP(C341,customers!$A$2:$A$1001,customers!$C$2:$C$1001,0)</f>
        <v>erasmus9f@techcrunch.com</v>
      </c>
      <c r="H341" s="2" t="str">
        <f>_xlfn.XLOOKUP(orders!C341,customers!$A$2:$A$1001,customers!$G$2:$G$1001,0)</f>
        <v>United States</v>
      </c>
      <c r="I341" t="str">
        <f>INDEX(products!$A$1:$G$49,MATCH(orders!$D341,products!$A$1:$A$49,0),MATCH($I$1,products!$A$1:$G$1,0))</f>
        <v>Exc</v>
      </c>
      <c r="J341" t="str">
        <f>INDEX(products!$A$1:$G$49,MATCH(orders!$D341,products!$A$1:$A$49,0),MATCH($J$1,products!$A$1:$G$1,0))</f>
        <v>D</v>
      </c>
      <c r="K341" s="1">
        <f>INDEX(products!$A$1:$G$49,MATCH(orders!$D341,products!$A$1:$A$49,0),MATCH($K$1,products!$A$1:$G$1,0))</f>
        <v>0.2</v>
      </c>
      <c r="L341">
        <f>INDEX(products!$A$1:$G$49,MATCH(orders!$D341,products!$A$1:$A$49,0),MATCH($L$1,products!$A$1:$G$1,0))</f>
        <v>3.645</v>
      </c>
      <c r="M341">
        <f t="shared" si="16"/>
        <v>7.29</v>
      </c>
      <c r="N341" t="str">
        <f t="shared" si="17"/>
        <v>Excelsa</v>
      </c>
      <c r="O341" t="str">
        <f t="shared" si="18"/>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_xlfn.XLOOKUP(C342,customers!$A$2:$A$1001,customers!$B$2:$B$1001,0)</f>
        <v>Wesley Giorgioni</v>
      </c>
      <c r="G342" s="2" t="str">
        <f>_xlfn.XLOOKUP(C342,customers!$A$2:$A$1001,customers!$C$2:$C$1001,0)</f>
        <v>wgiorgioni9g@wikipedia.org</v>
      </c>
      <c r="H342" s="2" t="str">
        <f>_xlfn.XLOOKUP(orders!C342,customers!$A$2:$A$1001,customers!$G$2:$G$1001,0)</f>
        <v>United States</v>
      </c>
      <c r="I342" t="str">
        <f>INDEX(products!$A$1:$G$49,MATCH(orders!$D342,products!$A$1:$A$49,0),MATCH($I$1,products!$A$1:$G$1,0))</f>
        <v>Exc</v>
      </c>
      <c r="J342" t="str">
        <f>INDEX(products!$A$1:$G$49,MATCH(orders!$D342,products!$A$1:$A$49,0),MATCH($J$1,products!$A$1:$G$1,0))</f>
        <v>D</v>
      </c>
      <c r="K342" s="1">
        <f>INDEX(products!$A$1:$G$49,MATCH(orders!$D342,products!$A$1:$A$49,0),MATCH($K$1,products!$A$1:$G$1,0))</f>
        <v>0.5</v>
      </c>
      <c r="L342">
        <f>INDEX(products!$A$1:$G$49,MATCH(orders!$D342,products!$A$1:$A$49,0),MATCH($L$1,products!$A$1:$G$1,0))</f>
        <v>7.29</v>
      </c>
      <c r="M342">
        <f t="shared" si="16"/>
        <v>7.29</v>
      </c>
      <c r="N342" t="str">
        <f t="shared" si="17"/>
        <v>Excelsa</v>
      </c>
      <c r="O342" t="str">
        <f t="shared" si="18"/>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_xlfn.XLOOKUP(C343,customers!$A$2:$A$1001,customers!$B$2:$B$1001,0)</f>
        <v>Lucienne Scargle</v>
      </c>
      <c r="G343" s="2" t="str">
        <f>_xlfn.XLOOKUP(C343,customers!$A$2:$A$1001,customers!$C$2:$C$1001,0)</f>
        <v>lscargle9h@myspace.com</v>
      </c>
      <c r="H343" s="2" t="str">
        <f>_xlfn.XLOOKUP(orders!C343,customers!$A$2:$A$1001,customers!$G$2:$G$1001,0)</f>
        <v>United States</v>
      </c>
      <c r="I343" t="str">
        <f>INDEX(products!$A$1:$G$49,MATCH(orders!$D343,products!$A$1:$A$49,0),MATCH($I$1,products!$A$1:$G$1,0))</f>
        <v>Exc</v>
      </c>
      <c r="J343" t="str">
        <f>INDEX(products!$A$1:$G$49,MATCH(orders!$D343,products!$A$1:$A$49,0),MATCH($J$1,products!$A$1:$G$1,0))</f>
        <v>L</v>
      </c>
      <c r="K343" s="1">
        <f>INDEX(products!$A$1:$G$49,MATCH(orders!$D343,products!$A$1:$A$49,0),MATCH($K$1,products!$A$1:$G$1,0))</f>
        <v>0.5</v>
      </c>
      <c r="L343">
        <f>INDEX(products!$A$1:$G$49,MATCH(orders!$D343,products!$A$1:$A$49,0),MATCH($L$1,products!$A$1:$G$1,0))</f>
        <v>8.91</v>
      </c>
      <c r="M343">
        <f t="shared" si="16"/>
        <v>17.82</v>
      </c>
      <c r="N343" t="str">
        <f t="shared" si="17"/>
        <v>Excelsa</v>
      </c>
      <c r="O343" t="str">
        <f t="shared" si="18"/>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_xlfn.XLOOKUP(C344,customers!$A$2:$A$1001,customers!$B$2:$B$1001,0)</f>
        <v>Lucienne Scargle</v>
      </c>
      <c r="G344" s="2" t="str">
        <f>_xlfn.XLOOKUP(C344,customers!$A$2:$A$1001,customers!$C$2:$C$1001,0)</f>
        <v>lscargle9h@myspace.com</v>
      </c>
      <c r="H344" s="2" t="str">
        <f>_xlfn.XLOOKUP(orders!C344,customers!$A$2:$A$1001,customers!$G$2:$G$1001,0)</f>
        <v>United States</v>
      </c>
      <c r="I344" t="str">
        <f>INDEX(products!$A$1:$G$49,MATCH(orders!$D344,products!$A$1:$A$49,0),MATCH($I$1,products!$A$1:$G$1,0))</f>
        <v>Lib</v>
      </c>
      <c r="J344" t="str">
        <f>INDEX(products!$A$1:$G$49,MATCH(orders!$D344,products!$A$1:$A$49,0),MATCH($J$1,products!$A$1:$G$1,0))</f>
        <v>D</v>
      </c>
      <c r="K344" s="1">
        <f>INDEX(products!$A$1:$G$49,MATCH(orders!$D344,products!$A$1:$A$49,0),MATCH($K$1,products!$A$1:$G$1,0))</f>
        <v>0.5</v>
      </c>
      <c r="L344">
        <f>INDEX(products!$A$1:$G$49,MATCH(orders!$D344,products!$A$1:$A$49,0),MATCH($L$1,products!$A$1:$G$1,0))</f>
        <v>7.77</v>
      </c>
      <c r="M344">
        <f t="shared" si="16"/>
        <v>38.849999999999994</v>
      </c>
      <c r="N344" t="str">
        <f t="shared" si="17"/>
        <v>Liberica</v>
      </c>
      <c r="O344" t="str">
        <f t="shared" si="18"/>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_xlfn.XLOOKUP(C345,customers!$A$2:$A$1001,customers!$B$2:$B$1001,0)</f>
        <v>Noam Climance</v>
      </c>
      <c r="G345" s="2" t="str">
        <f>_xlfn.XLOOKUP(C345,customers!$A$2:$A$1001,customers!$C$2:$C$1001,0)</f>
        <v>nclimance9j@europa.eu</v>
      </c>
      <c r="H345" s="2" t="str">
        <f>_xlfn.XLOOKUP(orders!C345,customers!$A$2:$A$1001,customers!$G$2:$G$1001,0)</f>
        <v>United States</v>
      </c>
      <c r="I345" t="str">
        <f>INDEX(products!$A$1:$G$49,MATCH(orders!$D345,products!$A$1:$A$49,0),MATCH($I$1,products!$A$1:$G$1,0))</f>
        <v>Rob</v>
      </c>
      <c r="J345" t="str">
        <f>INDEX(products!$A$1:$G$49,MATCH(orders!$D345,products!$A$1:$A$49,0),MATCH($J$1,products!$A$1:$G$1,0))</f>
        <v>D</v>
      </c>
      <c r="K345" s="1">
        <f>INDEX(products!$A$1:$G$49,MATCH(orders!$D345,products!$A$1:$A$49,0),MATCH($K$1,products!$A$1:$G$1,0))</f>
        <v>0.5</v>
      </c>
      <c r="L345">
        <f>INDEX(products!$A$1:$G$49,MATCH(orders!$D345,products!$A$1:$A$49,0),MATCH($L$1,products!$A$1:$G$1,0))</f>
        <v>5.3699999999999992</v>
      </c>
      <c r="M345">
        <f t="shared" si="16"/>
        <v>32.22</v>
      </c>
      <c r="N345" t="str">
        <f t="shared" si="17"/>
        <v>Robusta</v>
      </c>
      <c r="O345" t="str">
        <f t="shared" si="18"/>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_xlfn.XLOOKUP(C346,customers!$A$2:$A$1001,customers!$B$2:$B$1001,0)</f>
        <v>Catarina Donn</v>
      </c>
      <c r="G346" s="2">
        <f>_xlfn.XLOOKUP(C346,customers!$A$2:$A$1001,customers!$C$2:$C$1001,0)</f>
        <v>0</v>
      </c>
      <c r="H346" s="2" t="str">
        <f>_xlfn.XLOOKUP(orders!C346,customers!$A$2:$A$1001,customers!$G$2:$G$1001,0)</f>
        <v>Ireland</v>
      </c>
      <c r="I346" t="str">
        <f>INDEX(products!$A$1:$G$49,MATCH(orders!$D346,products!$A$1:$A$49,0),MATCH($I$1,products!$A$1:$G$1,0))</f>
        <v>Rob</v>
      </c>
      <c r="J346" t="str">
        <f>INDEX(products!$A$1:$G$49,MATCH(orders!$D346,products!$A$1:$A$49,0),MATCH($J$1,products!$A$1:$G$1,0))</f>
        <v>M</v>
      </c>
      <c r="K346" s="1">
        <f>INDEX(products!$A$1:$G$49,MATCH(orders!$D346,products!$A$1:$A$49,0),MATCH($K$1,products!$A$1:$G$1,0))</f>
        <v>1</v>
      </c>
      <c r="L346">
        <f>INDEX(products!$A$1:$G$49,MATCH(orders!$D346,products!$A$1:$A$49,0),MATCH($L$1,products!$A$1:$G$1,0))</f>
        <v>9.9499999999999993</v>
      </c>
      <c r="M346">
        <f t="shared" si="16"/>
        <v>19.899999999999999</v>
      </c>
      <c r="N346" t="str">
        <f t="shared" si="17"/>
        <v>Robusta</v>
      </c>
      <c r="O346" t="str">
        <f t="shared" si="18"/>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_xlfn.XLOOKUP(C347,customers!$A$2:$A$1001,customers!$B$2:$B$1001,0)</f>
        <v>Ameline Snazle</v>
      </c>
      <c r="G347" s="2" t="str">
        <f>_xlfn.XLOOKUP(C347,customers!$A$2:$A$1001,customers!$C$2:$C$1001,0)</f>
        <v>asnazle9l@oracle.com</v>
      </c>
      <c r="H347" s="2" t="str">
        <f>_xlfn.XLOOKUP(orders!C347,customers!$A$2:$A$1001,customers!$G$2:$G$1001,0)</f>
        <v>United States</v>
      </c>
      <c r="I347" t="str">
        <f>INDEX(products!$A$1:$G$49,MATCH(orders!$D347,products!$A$1:$A$49,0),MATCH($I$1,products!$A$1:$G$1,0))</f>
        <v>Rob</v>
      </c>
      <c r="J347" t="str">
        <f>INDEX(products!$A$1:$G$49,MATCH(orders!$D347,products!$A$1:$A$49,0),MATCH($J$1,products!$A$1:$G$1,0))</f>
        <v>L</v>
      </c>
      <c r="K347" s="1">
        <f>INDEX(products!$A$1:$G$49,MATCH(orders!$D347,products!$A$1:$A$49,0),MATCH($K$1,products!$A$1:$G$1,0))</f>
        <v>1</v>
      </c>
      <c r="L347">
        <f>INDEX(products!$A$1:$G$49,MATCH(orders!$D347,products!$A$1:$A$49,0),MATCH($L$1,products!$A$1:$G$1,0))</f>
        <v>11.95</v>
      </c>
      <c r="M347">
        <f t="shared" si="16"/>
        <v>59.75</v>
      </c>
      <c r="N347" t="str">
        <f t="shared" si="17"/>
        <v>Robusta</v>
      </c>
      <c r="O347" t="str">
        <f t="shared" si="18"/>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_xlfn.XLOOKUP(C348,customers!$A$2:$A$1001,customers!$B$2:$B$1001,0)</f>
        <v>Rebeka Worg</v>
      </c>
      <c r="G348" s="2" t="str">
        <f>_xlfn.XLOOKUP(C348,customers!$A$2:$A$1001,customers!$C$2:$C$1001,0)</f>
        <v>rworg9m@arstechnica.com</v>
      </c>
      <c r="H348" s="2" t="str">
        <f>_xlfn.XLOOKUP(orders!C348,customers!$A$2:$A$1001,customers!$G$2:$G$1001,0)</f>
        <v>United States</v>
      </c>
      <c r="I348" t="str">
        <f>INDEX(products!$A$1:$G$49,MATCH(orders!$D348,products!$A$1:$A$49,0),MATCH($I$1,products!$A$1:$G$1,0))</f>
        <v>Ara</v>
      </c>
      <c r="J348" t="str">
        <f>INDEX(products!$A$1:$G$49,MATCH(orders!$D348,products!$A$1:$A$49,0),MATCH($J$1,products!$A$1:$G$1,0))</f>
        <v>L</v>
      </c>
      <c r="K348" s="1">
        <f>INDEX(products!$A$1:$G$49,MATCH(orders!$D348,products!$A$1:$A$49,0),MATCH($K$1,products!$A$1:$G$1,0))</f>
        <v>0.5</v>
      </c>
      <c r="L348">
        <f>INDEX(products!$A$1:$G$49,MATCH(orders!$D348,products!$A$1:$A$49,0),MATCH($L$1,products!$A$1:$G$1,0))</f>
        <v>7.77</v>
      </c>
      <c r="M348">
        <f t="shared" si="16"/>
        <v>23.31</v>
      </c>
      <c r="N348" t="str">
        <f t="shared" si="17"/>
        <v>Arabica</v>
      </c>
      <c r="O348" t="str">
        <f t="shared" si="18"/>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_xlfn.XLOOKUP(C349,customers!$A$2:$A$1001,customers!$B$2:$B$1001,0)</f>
        <v>Lewes Danes</v>
      </c>
      <c r="G349" s="2" t="str">
        <f>_xlfn.XLOOKUP(C349,customers!$A$2:$A$1001,customers!$C$2:$C$1001,0)</f>
        <v>ldanes9n@umn.edu</v>
      </c>
      <c r="H349" s="2" t="str">
        <f>_xlfn.XLOOKUP(orders!C349,customers!$A$2:$A$1001,customers!$G$2:$G$1001,0)</f>
        <v>United States</v>
      </c>
      <c r="I349" t="str">
        <f>INDEX(products!$A$1:$G$49,MATCH(orders!$D349,products!$A$1:$A$49,0),MATCH($I$1,products!$A$1:$G$1,0))</f>
        <v>Lib</v>
      </c>
      <c r="J349" t="str">
        <f>INDEX(products!$A$1:$G$49,MATCH(orders!$D349,products!$A$1:$A$49,0),MATCH($J$1,products!$A$1:$G$1,0))</f>
        <v>M</v>
      </c>
      <c r="K349" s="1">
        <f>INDEX(products!$A$1:$G$49,MATCH(orders!$D349,products!$A$1:$A$49,0),MATCH($K$1,products!$A$1:$G$1,0))</f>
        <v>1</v>
      </c>
      <c r="L349">
        <f>INDEX(products!$A$1:$G$49,MATCH(orders!$D349,products!$A$1:$A$49,0),MATCH($L$1,products!$A$1:$G$1,0))</f>
        <v>14.55</v>
      </c>
      <c r="M349">
        <f t="shared" si="16"/>
        <v>43.650000000000006</v>
      </c>
      <c r="N349" t="str">
        <f t="shared" si="17"/>
        <v>Liberica</v>
      </c>
      <c r="O349" t="str">
        <f t="shared" si="18"/>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_xlfn.XLOOKUP(C350,customers!$A$2:$A$1001,customers!$B$2:$B$1001,0)</f>
        <v>Shelli Keynd</v>
      </c>
      <c r="G350" s="2" t="str">
        <f>_xlfn.XLOOKUP(C350,customers!$A$2:$A$1001,customers!$C$2:$C$1001,0)</f>
        <v>skeynd9o@narod.ru</v>
      </c>
      <c r="H350" s="2" t="str">
        <f>_xlfn.XLOOKUP(orders!C350,customers!$A$2:$A$1001,customers!$G$2:$G$1001,0)</f>
        <v>United States</v>
      </c>
      <c r="I350" t="str">
        <f>INDEX(products!$A$1:$G$49,MATCH(orders!$D350,products!$A$1:$A$49,0),MATCH($I$1,products!$A$1:$G$1,0))</f>
        <v>Exc</v>
      </c>
      <c r="J350" t="str">
        <f>INDEX(products!$A$1:$G$49,MATCH(orders!$D350,products!$A$1:$A$49,0),MATCH($J$1,products!$A$1:$G$1,0))</f>
        <v>L</v>
      </c>
      <c r="K350" s="1">
        <f>INDEX(products!$A$1:$G$49,MATCH(orders!$D350,products!$A$1:$A$49,0),MATCH($K$1,products!$A$1:$G$1,0))</f>
        <v>2.5</v>
      </c>
      <c r="L350">
        <f>INDEX(products!$A$1:$G$49,MATCH(orders!$D350,products!$A$1:$A$49,0),MATCH($L$1,products!$A$1:$G$1,0))</f>
        <v>34.154999999999994</v>
      </c>
      <c r="M350">
        <f t="shared" si="16"/>
        <v>204.92999999999995</v>
      </c>
      <c r="N350" t="str">
        <f t="shared" si="17"/>
        <v>Excelsa</v>
      </c>
      <c r="O350" t="str">
        <f t="shared" si="18"/>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_xlfn.XLOOKUP(C351,customers!$A$2:$A$1001,customers!$B$2:$B$1001,0)</f>
        <v>Dell Daveridge</v>
      </c>
      <c r="G351" s="2" t="str">
        <f>_xlfn.XLOOKUP(C351,customers!$A$2:$A$1001,customers!$C$2:$C$1001,0)</f>
        <v>ddaveridge9p@arstechnica.com</v>
      </c>
      <c r="H351" s="2" t="str">
        <f>_xlfn.XLOOKUP(orders!C351,customers!$A$2:$A$1001,customers!$G$2:$G$1001,0)</f>
        <v>United States</v>
      </c>
      <c r="I351" t="str">
        <f>INDEX(products!$A$1:$G$49,MATCH(orders!$D351,products!$A$1:$A$49,0),MATCH($I$1,products!$A$1:$G$1,0))</f>
        <v>Rob</v>
      </c>
      <c r="J351" t="str">
        <f>INDEX(products!$A$1:$G$49,MATCH(orders!$D351,products!$A$1:$A$49,0),MATCH($J$1,products!$A$1:$G$1,0))</f>
        <v>L</v>
      </c>
      <c r="K351" s="1">
        <f>INDEX(products!$A$1:$G$49,MATCH(orders!$D351,products!$A$1:$A$49,0),MATCH($K$1,products!$A$1:$G$1,0))</f>
        <v>0.2</v>
      </c>
      <c r="L351">
        <f>INDEX(products!$A$1:$G$49,MATCH(orders!$D351,products!$A$1:$A$49,0),MATCH($L$1,products!$A$1:$G$1,0))</f>
        <v>3.5849999999999995</v>
      </c>
      <c r="M351">
        <f t="shared" si="16"/>
        <v>14.339999999999998</v>
      </c>
      <c r="N351" t="str">
        <f t="shared" si="17"/>
        <v>Robusta</v>
      </c>
      <c r="O351" t="str">
        <f t="shared" si="18"/>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_xlfn.XLOOKUP(C352,customers!$A$2:$A$1001,customers!$B$2:$B$1001,0)</f>
        <v>Joshuah Awdry</v>
      </c>
      <c r="G352" s="2" t="str">
        <f>_xlfn.XLOOKUP(C352,customers!$A$2:$A$1001,customers!$C$2:$C$1001,0)</f>
        <v>jawdry9q@utexas.edu</v>
      </c>
      <c r="H352" s="2" t="str">
        <f>_xlfn.XLOOKUP(orders!C352,customers!$A$2:$A$1001,customers!$G$2:$G$1001,0)</f>
        <v>United States</v>
      </c>
      <c r="I352" t="str">
        <f>INDEX(products!$A$1:$G$49,MATCH(orders!$D352,products!$A$1:$A$49,0),MATCH($I$1,products!$A$1:$G$1,0))</f>
        <v>Ara</v>
      </c>
      <c r="J352" t="str">
        <f>INDEX(products!$A$1:$G$49,MATCH(orders!$D352,products!$A$1:$A$49,0),MATCH($J$1,products!$A$1:$G$1,0))</f>
        <v>D</v>
      </c>
      <c r="K352" s="1">
        <f>INDEX(products!$A$1:$G$49,MATCH(orders!$D352,products!$A$1:$A$49,0),MATCH($K$1,products!$A$1:$G$1,0))</f>
        <v>0.5</v>
      </c>
      <c r="L352">
        <f>INDEX(products!$A$1:$G$49,MATCH(orders!$D352,products!$A$1:$A$49,0),MATCH($L$1,products!$A$1:$G$1,0))</f>
        <v>5.97</v>
      </c>
      <c r="M352">
        <f t="shared" si="16"/>
        <v>23.88</v>
      </c>
      <c r="N352" t="str">
        <f t="shared" si="17"/>
        <v>Arabica</v>
      </c>
      <c r="O352" t="str">
        <f t="shared" si="18"/>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_xlfn.XLOOKUP(C353,customers!$A$2:$A$1001,customers!$B$2:$B$1001,0)</f>
        <v>Ethel Ryles</v>
      </c>
      <c r="G353" s="2" t="str">
        <f>_xlfn.XLOOKUP(C353,customers!$A$2:$A$1001,customers!$C$2:$C$1001,0)</f>
        <v>eryles9r@fastcompany.com</v>
      </c>
      <c r="H353" s="2" t="str">
        <f>_xlfn.XLOOKUP(orders!C353,customers!$A$2:$A$1001,customers!$G$2:$G$1001,0)</f>
        <v>United States</v>
      </c>
      <c r="I353" t="str">
        <f>INDEX(products!$A$1:$G$49,MATCH(orders!$D353,products!$A$1:$A$49,0),MATCH($I$1,products!$A$1:$G$1,0))</f>
        <v>Ara</v>
      </c>
      <c r="J353" t="str">
        <f>INDEX(products!$A$1:$G$49,MATCH(orders!$D353,products!$A$1:$A$49,0),MATCH($J$1,products!$A$1:$G$1,0))</f>
        <v>M</v>
      </c>
      <c r="K353" s="1">
        <f>INDEX(products!$A$1:$G$49,MATCH(orders!$D353,products!$A$1:$A$49,0),MATCH($K$1,products!$A$1:$G$1,0))</f>
        <v>1</v>
      </c>
      <c r="L353">
        <f>INDEX(products!$A$1:$G$49,MATCH(orders!$D353,products!$A$1:$A$49,0),MATCH($L$1,products!$A$1:$G$1,0))</f>
        <v>11.25</v>
      </c>
      <c r="M353">
        <f t="shared" si="16"/>
        <v>22.5</v>
      </c>
      <c r="N353" t="str">
        <f t="shared" si="17"/>
        <v>Arabica</v>
      </c>
      <c r="O353" t="str">
        <f t="shared" si="18"/>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_xlfn.XLOOKUP(C354,customers!$A$2:$A$1001,customers!$B$2:$B$1001,0)</f>
        <v>Flynn Antony</v>
      </c>
      <c r="G354" s="2">
        <f>_xlfn.XLOOKUP(C354,customers!$A$2:$A$1001,customers!$C$2:$C$1001,0)</f>
        <v>0</v>
      </c>
      <c r="H354" s="2" t="str">
        <f>_xlfn.XLOOKUP(orders!C354,customers!$A$2:$A$1001,customers!$G$2:$G$1001,0)</f>
        <v>United States</v>
      </c>
      <c r="I354" t="str">
        <f>INDEX(products!$A$1:$G$49,MATCH(orders!$D354,products!$A$1:$A$49,0),MATCH($I$1,products!$A$1:$G$1,0))</f>
        <v>Exc</v>
      </c>
      <c r="J354" t="str">
        <f>INDEX(products!$A$1:$G$49,MATCH(orders!$D354,products!$A$1:$A$49,0),MATCH($J$1,products!$A$1:$G$1,0))</f>
        <v>D</v>
      </c>
      <c r="K354" s="1">
        <f>INDEX(products!$A$1:$G$49,MATCH(orders!$D354,products!$A$1:$A$49,0),MATCH($K$1,products!$A$1:$G$1,0))</f>
        <v>0.5</v>
      </c>
      <c r="L354">
        <f>INDEX(products!$A$1:$G$49,MATCH(orders!$D354,products!$A$1:$A$49,0),MATCH($L$1,products!$A$1:$G$1,0))</f>
        <v>7.29</v>
      </c>
      <c r="M354">
        <f t="shared" si="16"/>
        <v>36.450000000000003</v>
      </c>
      <c r="N354" t="str">
        <f t="shared" si="17"/>
        <v>Excelsa</v>
      </c>
      <c r="O354" t="str">
        <f t="shared" si="18"/>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_xlfn.XLOOKUP(C355,customers!$A$2:$A$1001,customers!$B$2:$B$1001,0)</f>
        <v>Maitilde Boxill</v>
      </c>
      <c r="G355" s="2">
        <f>_xlfn.XLOOKUP(C355,customers!$A$2:$A$1001,customers!$C$2:$C$1001,0)</f>
        <v>0</v>
      </c>
      <c r="H355" s="2" t="str">
        <f>_xlfn.XLOOKUP(orders!C355,customers!$A$2:$A$1001,customers!$G$2:$G$1001,0)</f>
        <v>United States</v>
      </c>
      <c r="I355" t="str">
        <f>INDEX(products!$A$1:$G$49,MATCH(orders!$D355,products!$A$1:$A$49,0),MATCH($I$1,products!$A$1:$G$1,0))</f>
        <v>Ara</v>
      </c>
      <c r="J355" t="str">
        <f>INDEX(products!$A$1:$G$49,MATCH(orders!$D355,products!$A$1:$A$49,0),MATCH($J$1,products!$A$1:$G$1,0))</f>
        <v>M</v>
      </c>
      <c r="K355" s="1">
        <f>INDEX(products!$A$1:$G$49,MATCH(orders!$D355,products!$A$1:$A$49,0),MATCH($K$1,products!$A$1:$G$1,0))</f>
        <v>0.5</v>
      </c>
      <c r="L355">
        <f>INDEX(products!$A$1:$G$49,MATCH(orders!$D355,products!$A$1:$A$49,0),MATCH($L$1,products!$A$1:$G$1,0))</f>
        <v>6.75</v>
      </c>
      <c r="M355">
        <f t="shared" si="16"/>
        <v>27</v>
      </c>
      <c r="N355" t="str">
        <f t="shared" si="17"/>
        <v>Arabica</v>
      </c>
      <c r="O355" t="str">
        <f t="shared" si="18"/>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_xlfn.XLOOKUP(C356,customers!$A$2:$A$1001,customers!$B$2:$B$1001,0)</f>
        <v>Jodee Caldicott</v>
      </c>
      <c r="G356" s="2" t="str">
        <f>_xlfn.XLOOKUP(C356,customers!$A$2:$A$1001,customers!$C$2:$C$1001,0)</f>
        <v>jcaldicott9u@usda.gov</v>
      </c>
      <c r="H356" s="2" t="str">
        <f>_xlfn.XLOOKUP(orders!C356,customers!$A$2:$A$1001,customers!$G$2:$G$1001,0)</f>
        <v>United States</v>
      </c>
      <c r="I356" t="str">
        <f>INDEX(products!$A$1:$G$49,MATCH(orders!$D356,products!$A$1:$A$49,0),MATCH($I$1,products!$A$1:$G$1,0))</f>
        <v>Ara</v>
      </c>
      <c r="J356" t="str">
        <f>INDEX(products!$A$1:$G$49,MATCH(orders!$D356,products!$A$1:$A$49,0),MATCH($J$1,products!$A$1:$G$1,0))</f>
        <v>M</v>
      </c>
      <c r="K356" s="1">
        <f>INDEX(products!$A$1:$G$49,MATCH(orders!$D356,products!$A$1:$A$49,0),MATCH($K$1,products!$A$1:$G$1,0))</f>
        <v>2.5</v>
      </c>
      <c r="L356">
        <f>INDEX(products!$A$1:$G$49,MATCH(orders!$D356,products!$A$1:$A$49,0),MATCH($L$1,products!$A$1:$G$1,0))</f>
        <v>25.874999999999996</v>
      </c>
      <c r="M356">
        <f t="shared" si="16"/>
        <v>155.24999999999997</v>
      </c>
      <c r="N356" t="str">
        <f t="shared" si="17"/>
        <v>Arabica</v>
      </c>
      <c r="O356" t="str">
        <f t="shared" si="18"/>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_xlfn.XLOOKUP(C357,customers!$A$2:$A$1001,customers!$B$2:$B$1001,0)</f>
        <v>Marianna Vedmore</v>
      </c>
      <c r="G357" s="2" t="str">
        <f>_xlfn.XLOOKUP(C357,customers!$A$2:$A$1001,customers!$C$2:$C$1001,0)</f>
        <v>mvedmore9v@a8.net</v>
      </c>
      <c r="H357" s="2" t="str">
        <f>_xlfn.XLOOKUP(orders!C357,customers!$A$2:$A$1001,customers!$G$2:$G$1001,0)</f>
        <v>United States</v>
      </c>
      <c r="I357" t="str">
        <f>INDEX(products!$A$1:$G$49,MATCH(orders!$D357,products!$A$1:$A$49,0),MATCH($I$1,products!$A$1:$G$1,0))</f>
        <v>Ara</v>
      </c>
      <c r="J357" t="str">
        <f>INDEX(products!$A$1:$G$49,MATCH(orders!$D357,products!$A$1:$A$49,0),MATCH($J$1,products!$A$1:$G$1,0))</f>
        <v>D</v>
      </c>
      <c r="K357" s="1">
        <f>INDEX(products!$A$1:$G$49,MATCH(orders!$D357,products!$A$1:$A$49,0),MATCH($K$1,products!$A$1:$G$1,0))</f>
        <v>2.5</v>
      </c>
      <c r="L357">
        <f>INDEX(products!$A$1:$G$49,MATCH(orders!$D357,products!$A$1:$A$49,0),MATCH($L$1,products!$A$1:$G$1,0))</f>
        <v>22.884999999999998</v>
      </c>
      <c r="M357">
        <f t="shared" si="16"/>
        <v>114.42499999999998</v>
      </c>
      <c r="N357" t="str">
        <f t="shared" si="17"/>
        <v>Arabica</v>
      </c>
      <c r="O357" t="str">
        <f t="shared" si="18"/>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_xlfn.XLOOKUP(C358,customers!$A$2:$A$1001,customers!$B$2:$B$1001,0)</f>
        <v>Willey Romao</v>
      </c>
      <c r="G358" s="2" t="str">
        <f>_xlfn.XLOOKUP(C358,customers!$A$2:$A$1001,customers!$C$2:$C$1001,0)</f>
        <v>wromao9w@chronoengine.com</v>
      </c>
      <c r="H358" s="2" t="str">
        <f>_xlfn.XLOOKUP(orders!C358,customers!$A$2:$A$1001,customers!$G$2:$G$1001,0)</f>
        <v>United States</v>
      </c>
      <c r="I358" t="str">
        <f>INDEX(products!$A$1:$G$49,MATCH(orders!$D358,products!$A$1:$A$49,0),MATCH($I$1,products!$A$1:$G$1,0))</f>
        <v>Lib</v>
      </c>
      <c r="J358" t="str">
        <f>INDEX(products!$A$1:$G$49,MATCH(orders!$D358,products!$A$1:$A$49,0),MATCH($J$1,products!$A$1:$G$1,0))</f>
        <v>D</v>
      </c>
      <c r="K358" s="1">
        <f>INDEX(products!$A$1:$G$49,MATCH(orders!$D358,products!$A$1:$A$49,0),MATCH($K$1,products!$A$1:$G$1,0))</f>
        <v>1</v>
      </c>
      <c r="L358">
        <f>INDEX(products!$A$1:$G$49,MATCH(orders!$D358,products!$A$1:$A$49,0),MATCH($L$1,products!$A$1:$G$1,0))</f>
        <v>12.95</v>
      </c>
      <c r="M358">
        <f t="shared" si="16"/>
        <v>51.8</v>
      </c>
      <c r="N358" t="str">
        <f t="shared" si="17"/>
        <v>Liberica</v>
      </c>
      <c r="O358" t="str">
        <f t="shared" si="18"/>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_xlfn.XLOOKUP(C359,customers!$A$2:$A$1001,customers!$B$2:$B$1001,0)</f>
        <v>Enriqueta Ixor</v>
      </c>
      <c r="G359" s="2">
        <f>_xlfn.XLOOKUP(C359,customers!$A$2:$A$1001,customers!$C$2:$C$1001,0)</f>
        <v>0</v>
      </c>
      <c r="H359" s="2" t="str">
        <f>_xlfn.XLOOKUP(orders!C359,customers!$A$2:$A$1001,customers!$G$2:$G$1001,0)</f>
        <v>United States</v>
      </c>
      <c r="I359" t="str">
        <f>INDEX(products!$A$1:$G$49,MATCH(orders!$D359,products!$A$1:$A$49,0),MATCH($I$1,products!$A$1:$G$1,0))</f>
        <v>Ara</v>
      </c>
      <c r="J359" t="str">
        <f>INDEX(products!$A$1:$G$49,MATCH(orders!$D359,products!$A$1:$A$49,0),MATCH($J$1,products!$A$1:$G$1,0))</f>
        <v>M</v>
      </c>
      <c r="K359" s="1">
        <f>INDEX(products!$A$1:$G$49,MATCH(orders!$D359,products!$A$1:$A$49,0),MATCH($K$1,products!$A$1:$G$1,0))</f>
        <v>2.5</v>
      </c>
      <c r="L359">
        <f>INDEX(products!$A$1:$G$49,MATCH(orders!$D359,products!$A$1:$A$49,0),MATCH($L$1,products!$A$1:$G$1,0))</f>
        <v>25.874999999999996</v>
      </c>
      <c r="M359">
        <f t="shared" si="16"/>
        <v>155.24999999999997</v>
      </c>
      <c r="N359" t="str">
        <f t="shared" si="17"/>
        <v>Arabica</v>
      </c>
      <c r="O359" t="str">
        <f t="shared" si="18"/>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_xlfn.XLOOKUP(C360,customers!$A$2:$A$1001,customers!$B$2:$B$1001,0)</f>
        <v>Tomasina Cotmore</v>
      </c>
      <c r="G360" s="2" t="str">
        <f>_xlfn.XLOOKUP(C360,customers!$A$2:$A$1001,customers!$C$2:$C$1001,0)</f>
        <v>tcotmore9y@amazonaws.com</v>
      </c>
      <c r="H360" s="2" t="str">
        <f>_xlfn.XLOOKUP(orders!C360,customers!$A$2:$A$1001,customers!$G$2:$G$1001,0)</f>
        <v>United States</v>
      </c>
      <c r="I360" t="str">
        <f>INDEX(products!$A$1:$G$49,MATCH(orders!$D360,products!$A$1:$A$49,0),MATCH($I$1,products!$A$1:$G$1,0))</f>
        <v>Ara</v>
      </c>
      <c r="J360" t="str">
        <f>INDEX(products!$A$1:$G$49,MATCH(orders!$D360,products!$A$1:$A$49,0),MATCH($J$1,products!$A$1:$G$1,0))</f>
        <v>L</v>
      </c>
      <c r="K360" s="1">
        <f>INDEX(products!$A$1:$G$49,MATCH(orders!$D360,products!$A$1:$A$49,0),MATCH($K$1,products!$A$1:$G$1,0))</f>
        <v>2.5</v>
      </c>
      <c r="L360">
        <f>INDEX(products!$A$1:$G$49,MATCH(orders!$D360,products!$A$1:$A$49,0),MATCH($L$1,products!$A$1:$G$1,0))</f>
        <v>29.784999999999997</v>
      </c>
      <c r="M360">
        <f t="shared" si="16"/>
        <v>29.784999999999997</v>
      </c>
      <c r="N360" t="str">
        <f t="shared" si="17"/>
        <v>Arabica</v>
      </c>
      <c r="O360" t="str">
        <f t="shared" si="18"/>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_xlfn.XLOOKUP(C361,customers!$A$2:$A$1001,customers!$B$2:$B$1001,0)</f>
        <v>Yuma Skipsey</v>
      </c>
      <c r="G361" s="2" t="str">
        <f>_xlfn.XLOOKUP(C361,customers!$A$2:$A$1001,customers!$C$2:$C$1001,0)</f>
        <v>yskipsey9z@spotify.com</v>
      </c>
      <c r="H361" s="2" t="str">
        <f>_xlfn.XLOOKUP(orders!C361,customers!$A$2:$A$1001,customers!$G$2:$G$1001,0)</f>
        <v>United Kingdom</v>
      </c>
      <c r="I361" t="str">
        <f>INDEX(products!$A$1:$G$49,MATCH(orders!$D361,products!$A$1:$A$49,0),MATCH($I$1,products!$A$1:$G$1,0))</f>
        <v>Rob</v>
      </c>
      <c r="J361" t="str">
        <f>INDEX(products!$A$1:$G$49,MATCH(orders!$D361,products!$A$1:$A$49,0),MATCH($J$1,products!$A$1:$G$1,0))</f>
        <v>L</v>
      </c>
      <c r="K361" s="1">
        <f>INDEX(products!$A$1:$G$49,MATCH(orders!$D361,products!$A$1:$A$49,0),MATCH($K$1,products!$A$1:$G$1,0))</f>
        <v>0.2</v>
      </c>
      <c r="L361">
        <f>INDEX(products!$A$1:$G$49,MATCH(orders!$D361,products!$A$1:$A$49,0),MATCH($L$1,products!$A$1:$G$1,0))</f>
        <v>3.5849999999999995</v>
      </c>
      <c r="M361">
        <f t="shared" si="16"/>
        <v>21.509999999999998</v>
      </c>
      <c r="N361" t="str">
        <f t="shared" si="17"/>
        <v>Robusta</v>
      </c>
      <c r="O361" t="str">
        <f t="shared" si="18"/>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_xlfn.XLOOKUP(C362,customers!$A$2:$A$1001,customers!$B$2:$B$1001,0)</f>
        <v>Nicko Corps</v>
      </c>
      <c r="G362" s="2" t="str">
        <f>_xlfn.XLOOKUP(C362,customers!$A$2:$A$1001,customers!$C$2:$C$1001,0)</f>
        <v>ncorpsa0@gmpg.org</v>
      </c>
      <c r="H362" s="2" t="str">
        <f>_xlfn.XLOOKUP(orders!C362,customers!$A$2:$A$1001,customers!$G$2:$G$1001,0)</f>
        <v>United States</v>
      </c>
      <c r="I362" t="str">
        <f>INDEX(products!$A$1:$G$49,MATCH(orders!$D362,products!$A$1:$A$49,0),MATCH($I$1,products!$A$1:$G$1,0))</f>
        <v>Rob</v>
      </c>
      <c r="J362" t="str">
        <f>INDEX(products!$A$1:$G$49,MATCH(orders!$D362,products!$A$1:$A$49,0),MATCH($J$1,products!$A$1:$G$1,0))</f>
        <v>D</v>
      </c>
      <c r="K362" s="1">
        <f>INDEX(products!$A$1:$G$49,MATCH(orders!$D362,products!$A$1:$A$49,0),MATCH($K$1,products!$A$1:$G$1,0))</f>
        <v>2.5</v>
      </c>
      <c r="L362">
        <f>INDEX(products!$A$1:$G$49,MATCH(orders!$D362,products!$A$1:$A$49,0),MATCH($L$1,products!$A$1:$G$1,0))</f>
        <v>20.584999999999997</v>
      </c>
      <c r="M362">
        <f t="shared" si="16"/>
        <v>41.169999999999995</v>
      </c>
      <c r="N362" t="str">
        <f t="shared" si="17"/>
        <v>Robusta</v>
      </c>
      <c r="O362" t="str">
        <f t="shared" si="18"/>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_xlfn.XLOOKUP(C363,customers!$A$2:$A$1001,customers!$B$2:$B$1001,0)</f>
        <v>Nicko Corps</v>
      </c>
      <c r="G363" s="2" t="str">
        <f>_xlfn.XLOOKUP(C363,customers!$A$2:$A$1001,customers!$C$2:$C$1001,0)</f>
        <v>ncorpsa0@gmpg.org</v>
      </c>
      <c r="H363" s="2" t="str">
        <f>_xlfn.XLOOKUP(orders!C363,customers!$A$2:$A$1001,customers!$G$2:$G$1001,0)</f>
        <v>United States</v>
      </c>
      <c r="I363" t="str">
        <f>INDEX(products!$A$1:$G$49,MATCH(orders!$D363,products!$A$1:$A$49,0),MATCH($I$1,products!$A$1:$G$1,0))</f>
        <v>Rob</v>
      </c>
      <c r="J363" t="str">
        <f>INDEX(products!$A$1:$G$49,MATCH(orders!$D363,products!$A$1:$A$49,0),MATCH($J$1,products!$A$1:$G$1,0))</f>
        <v>M</v>
      </c>
      <c r="K363" s="1">
        <f>INDEX(products!$A$1:$G$49,MATCH(orders!$D363,products!$A$1:$A$49,0),MATCH($K$1,products!$A$1:$G$1,0))</f>
        <v>0.5</v>
      </c>
      <c r="L363">
        <f>INDEX(products!$A$1:$G$49,MATCH(orders!$D363,products!$A$1:$A$49,0),MATCH($L$1,products!$A$1:$G$1,0))</f>
        <v>5.97</v>
      </c>
      <c r="M363">
        <f t="shared" si="16"/>
        <v>5.97</v>
      </c>
      <c r="N363" t="str">
        <f t="shared" si="17"/>
        <v>Robusta</v>
      </c>
      <c r="O363" t="str">
        <f t="shared" si="18"/>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_xlfn.XLOOKUP(C364,customers!$A$2:$A$1001,customers!$B$2:$B$1001,0)</f>
        <v>Feliks Babber</v>
      </c>
      <c r="G364" s="2" t="str">
        <f>_xlfn.XLOOKUP(C364,customers!$A$2:$A$1001,customers!$C$2:$C$1001,0)</f>
        <v>fbabbera2@stanford.edu</v>
      </c>
      <c r="H364" s="2" t="str">
        <f>_xlfn.XLOOKUP(orders!C364,customers!$A$2:$A$1001,customers!$G$2:$G$1001,0)</f>
        <v>United States</v>
      </c>
      <c r="I364" t="str">
        <f>INDEX(products!$A$1:$G$49,MATCH(orders!$D364,products!$A$1:$A$49,0),MATCH($I$1,products!$A$1:$G$1,0))</f>
        <v>Exc</v>
      </c>
      <c r="J364" t="str">
        <f>INDEX(products!$A$1:$G$49,MATCH(orders!$D364,products!$A$1:$A$49,0),MATCH($J$1,products!$A$1:$G$1,0))</f>
        <v>L</v>
      </c>
      <c r="K364" s="1">
        <f>INDEX(products!$A$1:$G$49,MATCH(orders!$D364,products!$A$1:$A$49,0),MATCH($K$1,products!$A$1:$G$1,0))</f>
        <v>1</v>
      </c>
      <c r="L364">
        <f>INDEX(products!$A$1:$G$49,MATCH(orders!$D364,products!$A$1:$A$49,0),MATCH($L$1,products!$A$1:$G$1,0))</f>
        <v>14.85</v>
      </c>
      <c r="M364">
        <f t="shared" si="16"/>
        <v>74.25</v>
      </c>
      <c r="N364" t="str">
        <f t="shared" si="17"/>
        <v>Excelsa</v>
      </c>
      <c r="O364" t="str">
        <f t="shared" si="18"/>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_xlfn.XLOOKUP(C365,customers!$A$2:$A$1001,customers!$B$2:$B$1001,0)</f>
        <v>Kaja Loxton</v>
      </c>
      <c r="G365" s="2" t="str">
        <f>_xlfn.XLOOKUP(C365,customers!$A$2:$A$1001,customers!$C$2:$C$1001,0)</f>
        <v>kloxtona3@opensource.org</v>
      </c>
      <c r="H365" s="2" t="str">
        <f>_xlfn.XLOOKUP(orders!C365,customers!$A$2:$A$1001,customers!$G$2:$G$1001,0)</f>
        <v>United States</v>
      </c>
      <c r="I365" t="str">
        <f>INDEX(products!$A$1:$G$49,MATCH(orders!$D365,products!$A$1:$A$49,0),MATCH($I$1,products!$A$1:$G$1,0))</f>
        <v>Lib</v>
      </c>
      <c r="J365" t="str">
        <f>INDEX(products!$A$1:$G$49,MATCH(orders!$D365,products!$A$1:$A$49,0),MATCH($J$1,products!$A$1:$G$1,0))</f>
        <v>M</v>
      </c>
      <c r="K365" s="1">
        <f>INDEX(products!$A$1:$G$49,MATCH(orders!$D365,products!$A$1:$A$49,0),MATCH($K$1,products!$A$1:$G$1,0))</f>
        <v>1</v>
      </c>
      <c r="L365">
        <f>INDEX(products!$A$1:$G$49,MATCH(orders!$D365,products!$A$1:$A$49,0),MATCH($L$1,products!$A$1:$G$1,0))</f>
        <v>14.55</v>
      </c>
      <c r="M365">
        <f t="shared" si="16"/>
        <v>87.300000000000011</v>
      </c>
      <c r="N365" t="str">
        <f t="shared" si="17"/>
        <v>Liberica</v>
      </c>
      <c r="O365" t="str">
        <f t="shared" si="18"/>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_xlfn.XLOOKUP(C366,customers!$A$2:$A$1001,customers!$B$2:$B$1001,0)</f>
        <v>Parker Tofful</v>
      </c>
      <c r="G366" s="2" t="str">
        <f>_xlfn.XLOOKUP(C366,customers!$A$2:$A$1001,customers!$C$2:$C$1001,0)</f>
        <v>ptoffula4@posterous.com</v>
      </c>
      <c r="H366" s="2" t="str">
        <f>_xlfn.XLOOKUP(orders!C366,customers!$A$2:$A$1001,customers!$G$2:$G$1001,0)</f>
        <v>United States</v>
      </c>
      <c r="I366" t="str">
        <f>INDEX(products!$A$1:$G$49,MATCH(orders!$D366,products!$A$1:$A$49,0),MATCH($I$1,products!$A$1:$G$1,0))</f>
        <v>Exc</v>
      </c>
      <c r="J366" t="str">
        <f>INDEX(products!$A$1:$G$49,MATCH(orders!$D366,products!$A$1:$A$49,0),MATCH($J$1,products!$A$1:$G$1,0))</f>
        <v>D</v>
      </c>
      <c r="K366" s="1">
        <f>INDEX(products!$A$1:$G$49,MATCH(orders!$D366,products!$A$1:$A$49,0),MATCH($K$1,products!$A$1:$G$1,0))</f>
        <v>1</v>
      </c>
      <c r="L366">
        <f>INDEX(products!$A$1:$G$49,MATCH(orders!$D366,products!$A$1:$A$49,0),MATCH($L$1,products!$A$1:$G$1,0))</f>
        <v>12.15</v>
      </c>
      <c r="M366">
        <f t="shared" si="16"/>
        <v>72.900000000000006</v>
      </c>
      <c r="N366" t="str">
        <f t="shared" si="17"/>
        <v>Excelsa</v>
      </c>
      <c r="O366" t="str">
        <f t="shared" si="18"/>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_xlfn.XLOOKUP(C367,customers!$A$2:$A$1001,customers!$B$2:$B$1001,0)</f>
        <v>Casi Gwinnett</v>
      </c>
      <c r="G367" s="2" t="str">
        <f>_xlfn.XLOOKUP(C367,customers!$A$2:$A$1001,customers!$C$2:$C$1001,0)</f>
        <v>cgwinnetta5@behance.net</v>
      </c>
      <c r="H367" s="2" t="str">
        <f>_xlfn.XLOOKUP(orders!C367,customers!$A$2:$A$1001,customers!$G$2:$G$1001,0)</f>
        <v>United States</v>
      </c>
      <c r="I367" t="str">
        <f>INDEX(products!$A$1:$G$49,MATCH(orders!$D367,products!$A$1:$A$49,0),MATCH($I$1,products!$A$1:$G$1,0))</f>
        <v>Lib</v>
      </c>
      <c r="J367" t="str">
        <f>INDEX(products!$A$1:$G$49,MATCH(orders!$D367,products!$A$1:$A$49,0),MATCH($J$1,products!$A$1:$G$1,0))</f>
        <v>D</v>
      </c>
      <c r="K367" s="1">
        <f>INDEX(products!$A$1:$G$49,MATCH(orders!$D367,products!$A$1:$A$49,0),MATCH($K$1,products!$A$1:$G$1,0))</f>
        <v>0.5</v>
      </c>
      <c r="L367">
        <f>INDEX(products!$A$1:$G$49,MATCH(orders!$D367,products!$A$1:$A$49,0),MATCH($L$1,products!$A$1:$G$1,0))</f>
        <v>7.77</v>
      </c>
      <c r="M367">
        <f t="shared" si="16"/>
        <v>7.77</v>
      </c>
      <c r="N367" t="str">
        <f t="shared" si="17"/>
        <v>Liberica</v>
      </c>
      <c r="O367" t="str">
        <f t="shared" si="18"/>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_xlfn.XLOOKUP(C368,customers!$A$2:$A$1001,customers!$B$2:$B$1001,0)</f>
        <v>Saree Ellesworth</v>
      </c>
      <c r="G368" s="2">
        <f>_xlfn.XLOOKUP(C368,customers!$A$2:$A$1001,customers!$C$2:$C$1001,0)</f>
        <v>0</v>
      </c>
      <c r="H368" s="2" t="str">
        <f>_xlfn.XLOOKUP(orders!C368,customers!$A$2:$A$1001,customers!$G$2:$G$1001,0)</f>
        <v>United States</v>
      </c>
      <c r="I368" t="str">
        <f>INDEX(products!$A$1:$G$49,MATCH(orders!$D368,products!$A$1:$A$49,0),MATCH($I$1,products!$A$1:$G$1,0))</f>
        <v>Exc</v>
      </c>
      <c r="J368" t="str">
        <f>INDEX(products!$A$1:$G$49,MATCH(orders!$D368,products!$A$1:$A$49,0),MATCH($J$1,products!$A$1:$G$1,0))</f>
        <v>D</v>
      </c>
      <c r="K368" s="1">
        <f>INDEX(products!$A$1:$G$49,MATCH(orders!$D368,products!$A$1:$A$49,0),MATCH($K$1,products!$A$1:$G$1,0))</f>
        <v>0.5</v>
      </c>
      <c r="L368">
        <f>INDEX(products!$A$1:$G$49,MATCH(orders!$D368,products!$A$1:$A$49,0),MATCH($L$1,products!$A$1:$G$1,0))</f>
        <v>7.29</v>
      </c>
      <c r="M368">
        <f t="shared" si="16"/>
        <v>43.74</v>
      </c>
      <c r="N368" t="str">
        <f t="shared" si="17"/>
        <v>Excelsa</v>
      </c>
      <c r="O368" t="str">
        <f t="shared" si="18"/>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_xlfn.XLOOKUP(C369,customers!$A$2:$A$1001,customers!$B$2:$B$1001,0)</f>
        <v>Silvio Iorizzi</v>
      </c>
      <c r="G369" s="2">
        <f>_xlfn.XLOOKUP(C369,customers!$A$2:$A$1001,customers!$C$2:$C$1001,0)</f>
        <v>0</v>
      </c>
      <c r="H369" s="2" t="str">
        <f>_xlfn.XLOOKUP(orders!C369,customers!$A$2:$A$1001,customers!$G$2:$G$1001,0)</f>
        <v>United States</v>
      </c>
      <c r="I369" t="str">
        <f>INDEX(products!$A$1:$G$49,MATCH(orders!$D369,products!$A$1:$A$49,0),MATCH($I$1,products!$A$1:$G$1,0))</f>
        <v>Lib</v>
      </c>
      <c r="J369" t="str">
        <f>INDEX(products!$A$1:$G$49,MATCH(orders!$D369,products!$A$1:$A$49,0),MATCH($J$1,products!$A$1:$G$1,0))</f>
        <v>M</v>
      </c>
      <c r="K369" s="1">
        <f>INDEX(products!$A$1:$G$49,MATCH(orders!$D369,products!$A$1:$A$49,0),MATCH($K$1,products!$A$1:$G$1,0))</f>
        <v>0.2</v>
      </c>
      <c r="L369">
        <f>INDEX(products!$A$1:$G$49,MATCH(orders!$D369,products!$A$1:$A$49,0),MATCH($L$1,products!$A$1:$G$1,0))</f>
        <v>4.3650000000000002</v>
      </c>
      <c r="M369">
        <f t="shared" si="16"/>
        <v>8.73</v>
      </c>
      <c r="N369" t="str">
        <f t="shared" si="17"/>
        <v>Liberica</v>
      </c>
      <c r="O369" t="str">
        <f t="shared" si="18"/>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_xlfn.XLOOKUP(C370,customers!$A$2:$A$1001,customers!$B$2:$B$1001,0)</f>
        <v>Leesa Flaonier</v>
      </c>
      <c r="G370" s="2" t="str">
        <f>_xlfn.XLOOKUP(C370,customers!$A$2:$A$1001,customers!$C$2:$C$1001,0)</f>
        <v>lflaoniera8@wordpress.org</v>
      </c>
      <c r="H370" s="2" t="str">
        <f>_xlfn.XLOOKUP(orders!C370,customers!$A$2:$A$1001,customers!$G$2:$G$1001,0)</f>
        <v>United States</v>
      </c>
      <c r="I370" t="str">
        <f>INDEX(products!$A$1:$G$49,MATCH(orders!$D370,products!$A$1:$A$49,0),MATCH($I$1,products!$A$1:$G$1,0))</f>
        <v>Exc</v>
      </c>
      <c r="J370" t="str">
        <f>INDEX(products!$A$1:$G$49,MATCH(orders!$D370,products!$A$1:$A$49,0),MATCH($J$1,products!$A$1:$G$1,0))</f>
        <v>M</v>
      </c>
      <c r="K370" s="1">
        <f>INDEX(products!$A$1:$G$49,MATCH(orders!$D370,products!$A$1:$A$49,0),MATCH($K$1,products!$A$1:$G$1,0))</f>
        <v>2.5</v>
      </c>
      <c r="L370">
        <f>INDEX(products!$A$1:$G$49,MATCH(orders!$D370,products!$A$1:$A$49,0),MATCH($L$1,products!$A$1:$G$1,0))</f>
        <v>31.624999999999996</v>
      </c>
      <c r="M370">
        <f t="shared" si="16"/>
        <v>63.249999999999993</v>
      </c>
      <c r="N370" t="str">
        <f t="shared" si="17"/>
        <v>Excelsa</v>
      </c>
      <c r="O370" t="str">
        <f t="shared" si="18"/>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_xlfn.XLOOKUP(C371,customers!$A$2:$A$1001,customers!$B$2:$B$1001,0)</f>
        <v>Abba Pummell</v>
      </c>
      <c r="G371" s="2">
        <f>_xlfn.XLOOKUP(C371,customers!$A$2:$A$1001,customers!$C$2:$C$1001,0)</f>
        <v>0</v>
      </c>
      <c r="H371" s="2" t="str">
        <f>_xlfn.XLOOKUP(orders!C371,customers!$A$2:$A$1001,customers!$G$2:$G$1001,0)</f>
        <v>United States</v>
      </c>
      <c r="I371" t="str">
        <f>INDEX(products!$A$1:$G$49,MATCH(orders!$D371,products!$A$1:$A$49,0),MATCH($I$1,products!$A$1:$G$1,0))</f>
        <v>Exc</v>
      </c>
      <c r="J371" t="str">
        <f>INDEX(products!$A$1:$G$49,MATCH(orders!$D371,products!$A$1:$A$49,0),MATCH($J$1,products!$A$1:$G$1,0))</f>
        <v>L</v>
      </c>
      <c r="K371" s="1">
        <f>INDEX(products!$A$1:$G$49,MATCH(orders!$D371,products!$A$1:$A$49,0),MATCH($K$1,products!$A$1:$G$1,0))</f>
        <v>0.5</v>
      </c>
      <c r="L371">
        <f>INDEX(products!$A$1:$G$49,MATCH(orders!$D371,products!$A$1:$A$49,0),MATCH($L$1,products!$A$1:$G$1,0))</f>
        <v>8.91</v>
      </c>
      <c r="M371">
        <f t="shared" si="16"/>
        <v>8.91</v>
      </c>
      <c r="N371" t="str">
        <f t="shared" si="17"/>
        <v>Excelsa</v>
      </c>
      <c r="O371" t="str">
        <f t="shared" si="18"/>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_xlfn.XLOOKUP(C372,customers!$A$2:$A$1001,customers!$B$2:$B$1001,0)</f>
        <v>Corinna Catcheside</v>
      </c>
      <c r="G372" s="2" t="str">
        <f>_xlfn.XLOOKUP(C372,customers!$A$2:$A$1001,customers!$C$2:$C$1001,0)</f>
        <v>ccatchesideaa@macromedia.com</v>
      </c>
      <c r="H372" s="2" t="str">
        <f>_xlfn.XLOOKUP(orders!C372,customers!$A$2:$A$1001,customers!$G$2:$G$1001,0)</f>
        <v>United States</v>
      </c>
      <c r="I372" t="str">
        <f>INDEX(products!$A$1:$G$49,MATCH(orders!$D372,products!$A$1:$A$49,0),MATCH($I$1,products!$A$1:$G$1,0))</f>
        <v>Exc</v>
      </c>
      <c r="J372" t="str">
        <f>INDEX(products!$A$1:$G$49,MATCH(orders!$D372,products!$A$1:$A$49,0),MATCH($J$1,products!$A$1:$G$1,0))</f>
        <v>D</v>
      </c>
      <c r="K372" s="1">
        <f>INDEX(products!$A$1:$G$49,MATCH(orders!$D372,products!$A$1:$A$49,0),MATCH($K$1,products!$A$1:$G$1,0))</f>
        <v>1</v>
      </c>
      <c r="L372">
        <f>INDEX(products!$A$1:$G$49,MATCH(orders!$D372,products!$A$1:$A$49,0),MATCH($L$1,products!$A$1:$G$1,0))</f>
        <v>12.15</v>
      </c>
      <c r="M372">
        <f t="shared" si="16"/>
        <v>24.3</v>
      </c>
      <c r="N372" t="str">
        <f t="shared" si="17"/>
        <v>Excelsa</v>
      </c>
      <c r="O372" t="str">
        <f t="shared" si="18"/>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_xlfn.XLOOKUP(C373,customers!$A$2:$A$1001,customers!$B$2:$B$1001,0)</f>
        <v>Cortney Gibbonson</v>
      </c>
      <c r="G373" s="2" t="str">
        <f>_xlfn.XLOOKUP(C373,customers!$A$2:$A$1001,customers!$C$2:$C$1001,0)</f>
        <v>cgibbonsonab@accuweather.com</v>
      </c>
      <c r="H373" s="2" t="str">
        <f>_xlfn.XLOOKUP(orders!C373,customers!$A$2:$A$1001,customers!$G$2:$G$1001,0)</f>
        <v>United States</v>
      </c>
      <c r="I373" t="str">
        <f>INDEX(products!$A$1:$G$49,MATCH(orders!$D373,products!$A$1:$A$49,0),MATCH($I$1,products!$A$1:$G$1,0))</f>
        <v>Ara</v>
      </c>
      <c r="J373" t="str">
        <f>INDEX(products!$A$1:$G$49,MATCH(orders!$D373,products!$A$1:$A$49,0),MATCH($J$1,products!$A$1:$G$1,0))</f>
        <v>L</v>
      </c>
      <c r="K373" s="1">
        <f>INDEX(products!$A$1:$G$49,MATCH(orders!$D373,products!$A$1:$A$49,0),MATCH($K$1,products!$A$1:$G$1,0))</f>
        <v>0.5</v>
      </c>
      <c r="L373">
        <f>INDEX(products!$A$1:$G$49,MATCH(orders!$D373,products!$A$1:$A$49,0),MATCH($L$1,products!$A$1:$G$1,0))</f>
        <v>7.77</v>
      </c>
      <c r="M373">
        <f t="shared" si="16"/>
        <v>46.62</v>
      </c>
      <c r="N373" t="str">
        <f t="shared" si="17"/>
        <v>Arabica</v>
      </c>
      <c r="O373" t="str">
        <f t="shared" si="18"/>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_xlfn.XLOOKUP(C374,customers!$A$2:$A$1001,customers!$B$2:$B$1001,0)</f>
        <v>Terri Farra</v>
      </c>
      <c r="G374" s="2" t="str">
        <f>_xlfn.XLOOKUP(C374,customers!$A$2:$A$1001,customers!$C$2:$C$1001,0)</f>
        <v>tfarraac@behance.net</v>
      </c>
      <c r="H374" s="2" t="str">
        <f>_xlfn.XLOOKUP(orders!C374,customers!$A$2:$A$1001,customers!$G$2:$G$1001,0)</f>
        <v>United States</v>
      </c>
      <c r="I374" t="str">
        <f>INDEX(products!$A$1:$G$49,MATCH(orders!$D374,products!$A$1:$A$49,0),MATCH($I$1,products!$A$1:$G$1,0))</f>
        <v>Rob</v>
      </c>
      <c r="J374" t="str">
        <f>INDEX(products!$A$1:$G$49,MATCH(orders!$D374,products!$A$1:$A$49,0),MATCH($J$1,products!$A$1:$G$1,0))</f>
        <v>L</v>
      </c>
      <c r="K374" s="1">
        <f>INDEX(products!$A$1:$G$49,MATCH(orders!$D374,products!$A$1:$A$49,0),MATCH($K$1,products!$A$1:$G$1,0))</f>
        <v>0.5</v>
      </c>
      <c r="L374">
        <f>INDEX(products!$A$1:$G$49,MATCH(orders!$D374,products!$A$1:$A$49,0),MATCH($L$1,products!$A$1:$G$1,0))</f>
        <v>7.169999999999999</v>
      </c>
      <c r="M374">
        <f t="shared" si="16"/>
        <v>43.019999999999996</v>
      </c>
      <c r="N374" t="str">
        <f t="shared" si="17"/>
        <v>Robusta</v>
      </c>
      <c r="O374" t="str">
        <f t="shared" si="18"/>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_xlfn.XLOOKUP(C375,customers!$A$2:$A$1001,customers!$B$2:$B$1001,0)</f>
        <v>Corney Curme</v>
      </c>
      <c r="G375" s="2">
        <f>_xlfn.XLOOKUP(C375,customers!$A$2:$A$1001,customers!$C$2:$C$1001,0)</f>
        <v>0</v>
      </c>
      <c r="H375" s="2" t="str">
        <f>_xlfn.XLOOKUP(orders!C375,customers!$A$2:$A$1001,customers!$G$2:$G$1001,0)</f>
        <v>Ireland</v>
      </c>
      <c r="I375" t="str">
        <f>INDEX(products!$A$1:$G$49,MATCH(orders!$D375,products!$A$1:$A$49,0),MATCH($I$1,products!$A$1:$G$1,0))</f>
        <v>Ara</v>
      </c>
      <c r="J375" t="str">
        <f>INDEX(products!$A$1:$G$49,MATCH(orders!$D375,products!$A$1:$A$49,0),MATCH($J$1,products!$A$1:$G$1,0))</f>
        <v>D</v>
      </c>
      <c r="K375" s="1">
        <f>INDEX(products!$A$1:$G$49,MATCH(orders!$D375,products!$A$1:$A$49,0),MATCH($K$1,products!$A$1:$G$1,0))</f>
        <v>0.5</v>
      </c>
      <c r="L375">
        <f>INDEX(products!$A$1:$G$49,MATCH(orders!$D375,products!$A$1:$A$49,0),MATCH($L$1,products!$A$1:$G$1,0))</f>
        <v>5.97</v>
      </c>
      <c r="M375">
        <f t="shared" si="16"/>
        <v>17.91</v>
      </c>
      <c r="N375" t="str">
        <f t="shared" si="17"/>
        <v>Arabica</v>
      </c>
      <c r="O375" t="str">
        <f t="shared" si="18"/>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_xlfn.XLOOKUP(C376,customers!$A$2:$A$1001,customers!$B$2:$B$1001,0)</f>
        <v>Gothart Bamfield</v>
      </c>
      <c r="G376" s="2" t="str">
        <f>_xlfn.XLOOKUP(C376,customers!$A$2:$A$1001,customers!$C$2:$C$1001,0)</f>
        <v>gbamfieldae@yellowpages.com</v>
      </c>
      <c r="H376" s="2" t="str">
        <f>_xlfn.XLOOKUP(orders!C376,customers!$A$2:$A$1001,customers!$G$2:$G$1001,0)</f>
        <v>United States</v>
      </c>
      <c r="I376" t="str">
        <f>INDEX(products!$A$1:$G$49,MATCH(orders!$D376,products!$A$1:$A$49,0),MATCH($I$1,products!$A$1:$G$1,0))</f>
        <v>Lib</v>
      </c>
      <c r="J376" t="str">
        <f>INDEX(products!$A$1:$G$49,MATCH(orders!$D376,products!$A$1:$A$49,0),MATCH($J$1,products!$A$1:$G$1,0))</f>
        <v>L</v>
      </c>
      <c r="K376" s="1">
        <f>INDEX(products!$A$1:$G$49,MATCH(orders!$D376,products!$A$1:$A$49,0),MATCH($K$1,products!$A$1:$G$1,0))</f>
        <v>0.5</v>
      </c>
      <c r="L376">
        <f>INDEX(products!$A$1:$G$49,MATCH(orders!$D376,products!$A$1:$A$49,0),MATCH($L$1,products!$A$1:$G$1,0))</f>
        <v>9.51</v>
      </c>
      <c r="M376">
        <f t="shared" si="16"/>
        <v>38.04</v>
      </c>
      <c r="N376" t="str">
        <f t="shared" si="17"/>
        <v>Liberica</v>
      </c>
      <c r="O376" t="str">
        <f t="shared" si="18"/>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_xlfn.XLOOKUP(C377,customers!$A$2:$A$1001,customers!$B$2:$B$1001,0)</f>
        <v>Waylin Hollingdale</v>
      </c>
      <c r="G377" s="2" t="str">
        <f>_xlfn.XLOOKUP(C377,customers!$A$2:$A$1001,customers!$C$2:$C$1001,0)</f>
        <v>whollingdaleaf@about.me</v>
      </c>
      <c r="H377" s="2" t="str">
        <f>_xlfn.XLOOKUP(orders!C377,customers!$A$2:$A$1001,customers!$G$2:$G$1001,0)</f>
        <v>United States</v>
      </c>
      <c r="I377" t="str">
        <f>INDEX(products!$A$1:$G$49,MATCH(orders!$D377,products!$A$1:$A$49,0),MATCH($I$1,products!$A$1:$G$1,0))</f>
        <v>Ara</v>
      </c>
      <c r="J377" t="str">
        <f>INDEX(products!$A$1:$G$49,MATCH(orders!$D377,products!$A$1:$A$49,0),MATCH($J$1,products!$A$1:$G$1,0))</f>
        <v>M</v>
      </c>
      <c r="K377" s="1">
        <f>INDEX(products!$A$1:$G$49,MATCH(orders!$D377,products!$A$1:$A$49,0),MATCH($K$1,products!$A$1:$G$1,0))</f>
        <v>0.2</v>
      </c>
      <c r="L377">
        <f>INDEX(products!$A$1:$G$49,MATCH(orders!$D377,products!$A$1:$A$49,0),MATCH($L$1,products!$A$1:$G$1,0))</f>
        <v>3.375</v>
      </c>
      <c r="M377">
        <f t="shared" si="16"/>
        <v>6.75</v>
      </c>
      <c r="N377" t="str">
        <f t="shared" si="17"/>
        <v>Arabica</v>
      </c>
      <c r="O377" t="str">
        <f t="shared" si="18"/>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_xlfn.XLOOKUP(C378,customers!$A$2:$A$1001,customers!$B$2:$B$1001,0)</f>
        <v>Judd De Leek</v>
      </c>
      <c r="G378" s="2" t="str">
        <f>_xlfn.XLOOKUP(C378,customers!$A$2:$A$1001,customers!$C$2:$C$1001,0)</f>
        <v>jdeag@xrea.com</v>
      </c>
      <c r="H378" s="2" t="str">
        <f>_xlfn.XLOOKUP(orders!C378,customers!$A$2:$A$1001,customers!$G$2:$G$1001,0)</f>
        <v>United States</v>
      </c>
      <c r="I378" t="str">
        <f>INDEX(products!$A$1:$G$49,MATCH(orders!$D378,products!$A$1:$A$49,0),MATCH($I$1,products!$A$1:$G$1,0))</f>
        <v>Rob</v>
      </c>
      <c r="J378" t="str">
        <f>INDEX(products!$A$1:$G$49,MATCH(orders!$D378,products!$A$1:$A$49,0),MATCH($J$1,products!$A$1:$G$1,0))</f>
        <v>M</v>
      </c>
      <c r="K378" s="1">
        <f>INDEX(products!$A$1:$G$49,MATCH(orders!$D378,products!$A$1:$A$49,0),MATCH($K$1,products!$A$1:$G$1,0))</f>
        <v>0.5</v>
      </c>
      <c r="L378">
        <f>INDEX(products!$A$1:$G$49,MATCH(orders!$D378,products!$A$1:$A$49,0),MATCH($L$1,products!$A$1:$G$1,0))</f>
        <v>5.97</v>
      </c>
      <c r="M378">
        <f t="shared" si="16"/>
        <v>5.97</v>
      </c>
      <c r="N378" t="str">
        <f t="shared" si="17"/>
        <v>Robusta</v>
      </c>
      <c r="O378" t="str">
        <f t="shared" si="18"/>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_xlfn.XLOOKUP(C379,customers!$A$2:$A$1001,customers!$B$2:$B$1001,0)</f>
        <v>Vanya Skullet</v>
      </c>
      <c r="G379" s="2" t="str">
        <f>_xlfn.XLOOKUP(C379,customers!$A$2:$A$1001,customers!$C$2:$C$1001,0)</f>
        <v>vskulletah@tinyurl.com</v>
      </c>
      <c r="H379" s="2" t="str">
        <f>_xlfn.XLOOKUP(orders!C379,customers!$A$2:$A$1001,customers!$G$2:$G$1001,0)</f>
        <v>Ireland</v>
      </c>
      <c r="I379" t="str">
        <f>INDEX(products!$A$1:$G$49,MATCH(orders!$D379,products!$A$1:$A$49,0),MATCH($I$1,products!$A$1:$G$1,0))</f>
        <v>Rob</v>
      </c>
      <c r="J379" t="str">
        <f>INDEX(products!$A$1:$G$49,MATCH(orders!$D379,products!$A$1:$A$49,0),MATCH($J$1,products!$A$1:$G$1,0))</f>
        <v>D</v>
      </c>
      <c r="K379" s="1">
        <f>INDEX(products!$A$1:$G$49,MATCH(orders!$D379,products!$A$1:$A$49,0),MATCH($K$1,products!$A$1:$G$1,0))</f>
        <v>0.2</v>
      </c>
      <c r="L379">
        <f>INDEX(products!$A$1:$G$49,MATCH(orders!$D379,products!$A$1:$A$49,0),MATCH($L$1,products!$A$1:$G$1,0))</f>
        <v>2.6849999999999996</v>
      </c>
      <c r="M379">
        <f t="shared" si="16"/>
        <v>8.0549999999999997</v>
      </c>
      <c r="N379" t="str">
        <f t="shared" si="17"/>
        <v>Robusta</v>
      </c>
      <c r="O379" t="str">
        <f t="shared" si="18"/>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_xlfn.XLOOKUP(C380,customers!$A$2:$A$1001,customers!$B$2:$B$1001,0)</f>
        <v>Jany Rudeforth</v>
      </c>
      <c r="G380" s="2" t="str">
        <f>_xlfn.XLOOKUP(C380,customers!$A$2:$A$1001,customers!$C$2:$C$1001,0)</f>
        <v>jrudeforthai@wunderground.com</v>
      </c>
      <c r="H380" s="2" t="str">
        <f>_xlfn.XLOOKUP(orders!C380,customers!$A$2:$A$1001,customers!$G$2:$G$1001,0)</f>
        <v>Ireland</v>
      </c>
      <c r="I380" t="str">
        <f>INDEX(products!$A$1:$G$49,MATCH(orders!$D380,products!$A$1:$A$49,0),MATCH($I$1,products!$A$1:$G$1,0))</f>
        <v>Ara</v>
      </c>
      <c r="J380" t="str">
        <f>INDEX(products!$A$1:$G$49,MATCH(orders!$D380,products!$A$1:$A$49,0),MATCH($J$1,products!$A$1:$G$1,0))</f>
        <v>L</v>
      </c>
      <c r="K380" s="1">
        <f>INDEX(products!$A$1:$G$49,MATCH(orders!$D380,products!$A$1:$A$49,0),MATCH($K$1,products!$A$1:$G$1,0))</f>
        <v>0.5</v>
      </c>
      <c r="L380">
        <f>INDEX(products!$A$1:$G$49,MATCH(orders!$D380,products!$A$1:$A$49,0),MATCH($L$1,products!$A$1:$G$1,0))</f>
        <v>7.77</v>
      </c>
      <c r="M380">
        <f t="shared" si="16"/>
        <v>23.31</v>
      </c>
      <c r="N380" t="str">
        <f t="shared" si="17"/>
        <v>Arabica</v>
      </c>
      <c r="O380" t="str">
        <f t="shared" si="18"/>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_xlfn.XLOOKUP(C381,customers!$A$2:$A$1001,customers!$B$2:$B$1001,0)</f>
        <v>Ashbey Tomaszewski</v>
      </c>
      <c r="G381" s="2" t="str">
        <f>_xlfn.XLOOKUP(C381,customers!$A$2:$A$1001,customers!$C$2:$C$1001,0)</f>
        <v>atomaszewskiaj@answers.com</v>
      </c>
      <c r="H381" s="2" t="str">
        <f>_xlfn.XLOOKUP(orders!C381,customers!$A$2:$A$1001,customers!$G$2:$G$1001,0)</f>
        <v>United Kingdom</v>
      </c>
      <c r="I381" t="str">
        <f>INDEX(products!$A$1:$G$49,MATCH(orders!$D381,products!$A$1:$A$49,0),MATCH($I$1,products!$A$1:$G$1,0))</f>
        <v>Rob</v>
      </c>
      <c r="J381" t="str">
        <f>INDEX(products!$A$1:$G$49,MATCH(orders!$D381,products!$A$1:$A$49,0),MATCH($J$1,products!$A$1:$G$1,0))</f>
        <v>L</v>
      </c>
      <c r="K381" s="1">
        <f>INDEX(products!$A$1:$G$49,MATCH(orders!$D381,products!$A$1:$A$49,0),MATCH($K$1,products!$A$1:$G$1,0))</f>
        <v>0.5</v>
      </c>
      <c r="L381">
        <f>INDEX(products!$A$1:$G$49,MATCH(orders!$D381,products!$A$1:$A$49,0),MATCH($L$1,products!$A$1:$G$1,0))</f>
        <v>7.169999999999999</v>
      </c>
      <c r="M381">
        <f t="shared" si="16"/>
        <v>43.019999999999996</v>
      </c>
      <c r="N381" t="str">
        <f t="shared" si="17"/>
        <v>Robusta</v>
      </c>
      <c r="O381" t="str">
        <f t="shared" si="18"/>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_xlfn.XLOOKUP(C382,customers!$A$2:$A$1001,customers!$B$2:$B$1001,0)</f>
        <v>Flynn Antony</v>
      </c>
      <c r="G382" s="2">
        <f>_xlfn.XLOOKUP(C382,customers!$A$2:$A$1001,customers!$C$2:$C$1001,0)</f>
        <v>0</v>
      </c>
      <c r="H382" s="2" t="str">
        <f>_xlfn.XLOOKUP(orders!C382,customers!$A$2:$A$1001,customers!$G$2:$G$1001,0)</f>
        <v>United States</v>
      </c>
      <c r="I382" t="str">
        <f>INDEX(products!$A$1:$G$49,MATCH(orders!$D382,products!$A$1:$A$49,0),MATCH($I$1,products!$A$1:$G$1,0))</f>
        <v>Lib</v>
      </c>
      <c r="J382" t="str">
        <f>INDEX(products!$A$1:$G$49,MATCH(orders!$D382,products!$A$1:$A$49,0),MATCH($J$1,products!$A$1:$G$1,0))</f>
        <v>D</v>
      </c>
      <c r="K382" s="1">
        <f>INDEX(products!$A$1:$G$49,MATCH(orders!$D382,products!$A$1:$A$49,0),MATCH($K$1,products!$A$1:$G$1,0))</f>
        <v>0.5</v>
      </c>
      <c r="L382">
        <f>INDEX(products!$A$1:$G$49,MATCH(orders!$D382,products!$A$1:$A$49,0),MATCH($L$1,products!$A$1:$G$1,0))</f>
        <v>7.77</v>
      </c>
      <c r="M382">
        <f t="shared" si="16"/>
        <v>23.31</v>
      </c>
      <c r="N382" t="str">
        <f t="shared" si="17"/>
        <v>Liberica</v>
      </c>
      <c r="O382" t="str">
        <f t="shared" si="18"/>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_xlfn.XLOOKUP(C383,customers!$A$2:$A$1001,customers!$B$2:$B$1001,0)</f>
        <v>Pren Bess</v>
      </c>
      <c r="G383" s="2" t="str">
        <f>_xlfn.XLOOKUP(C383,customers!$A$2:$A$1001,customers!$C$2:$C$1001,0)</f>
        <v>pbessal@qq.com</v>
      </c>
      <c r="H383" s="2" t="str">
        <f>_xlfn.XLOOKUP(orders!C383,customers!$A$2:$A$1001,customers!$G$2:$G$1001,0)</f>
        <v>United States</v>
      </c>
      <c r="I383" t="str">
        <f>INDEX(products!$A$1:$G$49,MATCH(orders!$D383,products!$A$1:$A$49,0),MATCH($I$1,products!$A$1:$G$1,0))</f>
        <v>Ara</v>
      </c>
      <c r="J383" t="str">
        <f>INDEX(products!$A$1:$G$49,MATCH(orders!$D383,products!$A$1:$A$49,0),MATCH($J$1,products!$A$1:$G$1,0))</f>
        <v>D</v>
      </c>
      <c r="K383" s="1">
        <f>INDEX(products!$A$1:$G$49,MATCH(orders!$D383,products!$A$1:$A$49,0),MATCH($K$1,products!$A$1:$G$1,0))</f>
        <v>0.2</v>
      </c>
      <c r="L383">
        <f>INDEX(products!$A$1:$G$49,MATCH(orders!$D383,products!$A$1:$A$49,0),MATCH($L$1,products!$A$1:$G$1,0))</f>
        <v>2.9849999999999999</v>
      </c>
      <c r="M383">
        <f t="shared" si="16"/>
        <v>14.924999999999999</v>
      </c>
      <c r="N383" t="str">
        <f t="shared" si="17"/>
        <v>Arabica</v>
      </c>
      <c r="O383" t="str">
        <f t="shared" si="18"/>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_xlfn.XLOOKUP(C384,customers!$A$2:$A$1001,customers!$B$2:$B$1001,0)</f>
        <v>Elka Windress</v>
      </c>
      <c r="G384" s="2" t="str">
        <f>_xlfn.XLOOKUP(C384,customers!$A$2:$A$1001,customers!$C$2:$C$1001,0)</f>
        <v>ewindressam@marketwatch.com</v>
      </c>
      <c r="H384" s="2" t="str">
        <f>_xlfn.XLOOKUP(orders!C384,customers!$A$2:$A$1001,customers!$G$2:$G$1001,0)</f>
        <v>United States</v>
      </c>
      <c r="I384" t="str">
        <f>INDEX(products!$A$1:$G$49,MATCH(orders!$D384,products!$A$1:$A$49,0),MATCH($I$1,products!$A$1:$G$1,0))</f>
        <v>Exc</v>
      </c>
      <c r="J384" t="str">
        <f>INDEX(products!$A$1:$G$49,MATCH(orders!$D384,products!$A$1:$A$49,0),MATCH($J$1,products!$A$1:$G$1,0))</f>
        <v>D</v>
      </c>
      <c r="K384" s="1">
        <f>INDEX(products!$A$1:$G$49,MATCH(orders!$D384,products!$A$1:$A$49,0),MATCH($K$1,products!$A$1:$G$1,0))</f>
        <v>0.5</v>
      </c>
      <c r="L384">
        <f>INDEX(products!$A$1:$G$49,MATCH(orders!$D384,products!$A$1:$A$49,0),MATCH($L$1,products!$A$1:$G$1,0))</f>
        <v>7.29</v>
      </c>
      <c r="M384">
        <f t="shared" si="16"/>
        <v>21.87</v>
      </c>
      <c r="N384" t="str">
        <f t="shared" si="17"/>
        <v>Excelsa</v>
      </c>
      <c r="O384" t="str">
        <f t="shared" si="18"/>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_xlfn.XLOOKUP(C385,customers!$A$2:$A$1001,customers!$B$2:$B$1001,0)</f>
        <v>Marty Kidstoun</v>
      </c>
      <c r="G385" s="2">
        <f>_xlfn.XLOOKUP(C385,customers!$A$2:$A$1001,customers!$C$2:$C$1001,0)</f>
        <v>0</v>
      </c>
      <c r="H385" s="2" t="str">
        <f>_xlfn.XLOOKUP(orders!C385,customers!$A$2:$A$1001,customers!$G$2:$G$1001,0)</f>
        <v>United States</v>
      </c>
      <c r="I385" t="str">
        <f>INDEX(products!$A$1:$G$49,MATCH(orders!$D385,products!$A$1:$A$49,0),MATCH($I$1,products!$A$1:$G$1,0))</f>
        <v>Exc</v>
      </c>
      <c r="J385" t="str">
        <f>INDEX(products!$A$1:$G$49,MATCH(orders!$D385,products!$A$1:$A$49,0),MATCH($J$1,products!$A$1:$G$1,0))</f>
        <v>L</v>
      </c>
      <c r="K385" s="1">
        <f>INDEX(products!$A$1:$G$49,MATCH(orders!$D385,products!$A$1:$A$49,0),MATCH($K$1,products!$A$1:$G$1,0))</f>
        <v>0.5</v>
      </c>
      <c r="L385">
        <f>INDEX(products!$A$1:$G$49,MATCH(orders!$D385,products!$A$1:$A$49,0),MATCH($L$1,products!$A$1:$G$1,0))</f>
        <v>8.91</v>
      </c>
      <c r="M385">
        <f t="shared" si="16"/>
        <v>53.46</v>
      </c>
      <c r="N385" t="str">
        <f t="shared" si="17"/>
        <v>Excelsa</v>
      </c>
      <c r="O385" t="str">
        <f t="shared" si="18"/>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_xlfn.XLOOKUP(C386,customers!$A$2:$A$1001,customers!$B$2:$B$1001,0)</f>
        <v>Nickey Dimbleby</v>
      </c>
      <c r="G386" s="2">
        <f>_xlfn.XLOOKUP(C386,customers!$A$2:$A$1001,customers!$C$2:$C$1001,0)</f>
        <v>0</v>
      </c>
      <c r="H386" s="2" t="str">
        <f>_xlfn.XLOOKUP(orders!C386,customers!$A$2:$A$1001,customers!$G$2:$G$1001,0)</f>
        <v>United States</v>
      </c>
      <c r="I386" t="str">
        <f>INDEX(products!$A$1:$G$49,MATCH(orders!$D386,products!$A$1:$A$49,0),MATCH($I$1,products!$A$1:$G$1,0))</f>
        <v>Ara</v>
      </c>
      <c r="J386" t="str">
        <f>INDEX(products!$A$1:$G$49,MATCH(orders!$D386,products!$A$1:$A$49,0),MATCH($J$1,products!$A$1:$G$1,0))</f>
        <v>L</v>
      </c>
      <c r="K386" s="1">
        <f>INDEX(products!$A$1:$G$49,MATCH(orders!$D386,products!$A$1:$A$49,0),MATCH($K$1,products!$A$1:$G$1,0))</f>
        <v>2.5</v>
      </c>
      <c r="L386">
        <f>INDEX(products!$A$1:$G$49,MATCH(orders!$D386,products!$A$1:$A$49,0),MATCH($L$1,products!$A$1:$G$1,0))</f>
        <v>29.784999999999997</v>
      </c>
      <c r="M386">
        <f t="shared" si="16"/>
        <v>119.13999999999999</v>
      </c>
      <c r="N386" t="str">
        <f t="shared" si="17"/>
        <v>Arabica</v>
      </c>
      <c r="O386" t="str">
        <f t="shared" si="18"/>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_xlfn.XLOOKUP(C387,customers!$A$2:$A$1001,customers!$B$2:$B$1001,0)</f>
        <v>Virgil Baumadier</v>
      </c>
      <c r="G387" s="2" t="str">
        <f>_xlfn.XLOOKUP(C387,customers!$A$2:$A$1001,customers!$C$2:$C$1001,0)</f>
        <v>vbaumadierap@google.cn</v>
      </c>
      <c r="H387" s="2" t="str">
        <f>_xlfn.XLOOKUP(orders!C387,customers!$A$2:$A$1001,customers!$G$2:$G$1001,0)</f>
        <v>United States</v>
      </c>
      <c r="I387" t="str">
        <f>INDEX(products!$A$1:$G$49,MATCH(orders!$D387,products!$A$1:$A$49,0),MATCH($I$1,products!$A$1:$G$1,0))</f>
        <v>Lib</v>
      </c>
      <c r="J387" t="str">
        <f>INDEX(products!$A$1:$G$49,MATCH(orders!$D387,products!$A$1:$A$49,0),MATCH($J$1,products!$A$1:$G$1,0))</f>
        <v>M</v>
      </c>
      <c r="K387" s="1">
        <f>INDEX(products!$A$1:$G$49,MATCH(orders!$D387,products!$A$1:$A$49,0),MATCH($K$1,products!$A$1:$G$1,0))</f>
        <v>0.5</v>
      </c>
      <c r="L387">
        <f>INDEX(products!$A$1:$G$49,MATCH(orders!$D387,products!$A$1:$A$49,0),MATCH($L$1,products!$A$1:$G$1,0))</f>
        <v>8.73</v>
      </c>
      <c r="M387">
        <f t="shared" ref="M387:M450" si="19">L387*E387</f>
        <v>43.650000000000006</v>
      </c>
      <c r="N387" t="str">
        <f t="shared" ref="N387:N450" si="20">IF(I387="Rob","Robusta",IF(I387="Exc","Excelsa",IF(I387="Ara","Arabica",IF(I387="Lib","Liberica",""))))</f>
        <v>Liberica</v>
      </c>
      <c r="O387" t="str">
        <f t="shared" ref="O387:O450" si="21">IF(J387="M", "Medium", IF(J387="L","Light", IF(J387="D", "Dark","")))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_xlfn.XLOOKUP(C388,customers!$A$2:$A$1001,customers!$B$2:$B$1001,0)</f>
        <v>Lenore Messenbird</v>
      </c>
      <c r="G388" s="2">
        <f>_xlfn.XLOOKUP(C388,customers!$A$2:$A$1001,customers!$C$2:$C$1001,0)</f>
        <v>0</v>
      </c>
      <c r="H388" s="2" t="str">
        <f>_xlfn.XLOOKUP(orders!C388,customers!$A$2:$A$1001,customers!$G$2:$G$1001,0)</f>
        <v>United States</v>
      </c>
      <c r="I388" t="str">
        <f>INDEX(products!$A$1:$G$49,MATCH(orders!$D388,products!$A$1:$A$49,0),MATCH($I$1,products!$A$1:$G$1,0))</f>
        <v>Ara</v>
      </c>
      <c r="J388" t="str">
        <f>INDEX(products!$A$1:$G$49,MATCH(orders!$D388,products!$A$1:$A$49,0),MATCH($J$1,products!$A$1:$G$1,0))</f>
        <v>D</v>
      </c>
      <c r="K388" s="1">
        <f>INDEX(products!$A$1:$G$49,MATCH(orders!$D388,products!$A$1:$A$49,0),MATCH($K$1,products!$A$1:$G$1,0))</f>
        <v>0.2</v>
      </c>
      <c r="L388">
        <f>INDEX(products!$A$1:$G$49,MATCH(orders!$D388,products!$A$1:$A$49,0),MATCH($L$1,products!$A$1:$G$1,0))</f>
        <v>2.9849999999999999</v>
      </c>
      <c r="M388">
        <f t="shared" si="19"/>
        <v>17.91</v>
      </c>
      <c r="N388" t="str">
        <f t="shared" si="20"/>
        <v>Arabica</v>
      </c>
      <c r="O388" t="str">
        <f t="shared" si="21"/>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_xlfn.XLOOKUP(C389,customers!$A$2:$A$1001,customers!$B$2:$B$1001,0)</f>
        <v>Shirleen Welds</v>
      </c>
      <c r="G389" s="2" t="str">
        <f>_xlfn.XLOOKUP(C389,customers!$A$2:$A$1001,customers!$C$2:$C$1001,0)</f>
        <v>sweldsar@wired.com</v>
      </c>
      <c r="H389" s="2" t="str">
        <f>_xlfn.XLOOKUP(orders!C389,customers!$A$2:$A$1001,customers!$G$2:$G$1001,0)</f>
        <v>United States</v>
      </c>
      <c r="I389" t="str">
        <f>INDEX(products!$A$1:$G$49,MATCH(orders!$D389,products!$A$1:$A$49,0),MATCH($I$1,products!$A$1:$G$1,0))</f>
        <v>Exc</v>
      </c>
      <c r="J389" t="str">
        <f>INDEX(products!$A$1:$G$49,MATCH(orders!$D389,products!$A$1:$A$49,0),MATCH($J$1,products!$A$1:$G$1,0))</f>
        <v>L</v>
      </c>
      <c r="K389" s="1">
        <f>INDEX(products!$A$1:$G$49,MATCH(orders!$D389,products!$A$1:$A$49,0),MATCH($K$1,products!$A$1:$G$1,0))</f>
        <v>1</v>
      </c>
      <c r="L389">
        <f>INDEX(products!$A$1:$G$49,MATCH(orders!$D389,products!$A$1:$A$49,0),MATCH($L$1,products!$A$1:$G$1,0))</f>
        <v>14.85</v>
      </c>
      <c r="M389">
        <f t="shared" si="19"/>
        <v>74.25</v>
      </c>
      <c r="N389" t="str">
        <f t="shared" si="20"/>
        <v>Excelsa</v>
      </c>
      <c r="O389" t="str">
        <f t="shared" si="21"/>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_xlfn.XLOOKUP(C390,customers!$A$2:$A$1001,customers!$B$2:$B$1001,0)</f>
        <v>Maisie Sarvar</v>
      </c>
      <c r="G390" s="2" t="str">
        <f>_xlfn.XLOOKUP(C390,customers!$A$2:$A$1001,customers!$C$2:$C$1001,0)</f>
        <v>msarvaras@artisteer.com</v>
      </c>
      <c r="H390" s="2" t="str">
        <f>_xlfn.XLOOKUP(orders!C390,customers!$A$2:$A$1001,customers!$G$2:$G$1001,0)</f>
        <v>United States</v>
      </c>
      <c r="I390" t="str">
        <f>INDEX(products!$A$1:$G$49,MATCH(orders!$D390,products!$A$1:$A$49,0),MATCH($I$1,products!$A$1:$G$1,0))</f>
        <v>Lib</v>
      </c>
      <c r="J390" t="str">
        <f>INDEX(products!$A$1:$G$49,MATCH(orders!$D390,products!$A$1:$A$49,0),MATCH($J$1,products!$A$1:$G$1,0))</f>
        <v>D</v>
      </c>
      <c r="K390" s="1">
        <f>INDEX(products!$A$1:$G$49,MATCH(orders!$D390,products!$A$1:$A$49,0),MATCH($K$1,products!$A$1:$G$1,0))</f>
        <v>0.2</v>
      </c>
      <c r="L390">
        <f>INDEX(products!$A$1:$G$49,MATCH(orders!$D390,products!$A$1:$A$49,0),MATCH($L$1,products!$A$1:$G$1,0))</f>
        <v>3.8849999999999998</v>
      </c>
      <c r="M390">
        <f t="shared" si="19"/>
        <v>11.654999999999999</v>
      </c>
      <c r="N390" t="str">
        <f t="shared" si="20"/>
        <v>Liberica</v>
      </c>
      <c r="O390" t="str">
        <f t="shared" si="21"/>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_xlfn.XLOOKUP(C391,customers!$A$2:$A$1001,customers!$B$2:$B$1001,0)</f>
        <v>Andrej Havick</v>
      </c>
      <c r="G391" s="2" t="str">
        <f>_xlfn.XLOOKUP(C391,customers!$A$2:$A$1001,customers!$C$2:$C$1001,0)</f>
        <v>ahavickat@nsw.gov.au</v>
      </c>
      <c r="H391" s="2" t="str">
        <f>_xlfn.XLOOKUP(orders!C391,customers!$A$2:$A$1001,customers!$G$2:$G$1001,0)</f>
        <v>United States</v>
      </c>
      <c r="I391" t="str">
        <f>INDEX(products!$A$1:$G$49,MATCH(orders!$D391,products!$A$1:$A$49,0),MATCH($I$1,products!$A$1:$G$1,0))</f>
        <v>Lib</v>
      </c>
      <c r="J391" t="str">
        <f>INDEX(products!$A$1:$G$49,MATCH(orders!$D391,products!$A$1:$A$49,0),MATCH($J$1,products!$A$1:$G$1,0))</f>
        <v>D</v>
      </c>
      <c r="K391" s="1">
        <f>INDEX(products!$A$1:$G$49,MATCH(orders!$D391,products!$A$1:$A$49,0),MATCH($K$1,products!$A$1:$G$1,0))</f>
        <v>0.5</v>
      </c>
      <c r="L391">
        <f>INDEX(products!$A$1:$G$49,MATCH(orders!$D391,products!$A$1:$A$49,0),MATCH($L$1,products!$A$1:$G$1,0))</f>
        <v>7.77</v>
      </c>
      <c r="M391">
        <f t="shared" si="19"/>
        <v>23.31</v>
      </c>
      <c r="N391" t="str">
        <f t="shared" si="20"/>
        <v>Liberica</v>
      </c>
      <c r="O391" t="str">
        <f t="shared" si="21"/>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_xlfn.XLOOKUP(C392,customers!$A$2:$A$1001,customers!$B$2:$B$1001,0)</f>
        <v>Sloan Diviny</v>
      </c>
      <c r="G392" s="2" t="str">
        <f>_xlfn.XLOOKUP(C392,customers!$A$2:$A$1001,customers!$C$2:$C$1001,0)</f>
        <v>sdivinyau@ask.com</v>
      </c>
      <c r="H392" s="2" t="str">
        <f>_xlfn.XLOOKUP(orders!C392,customers!$A$2:$A$1001,customers!$G$2:$G$1001,0)</f>
        <v>United States</v>
      </c>
      <c r="I392" t="str">
        <f>INDEX(products!$A$1:$G$49,MATCH(orders!$D392,products!$A$1:$A$49,0),MATCH($I$1,products!$A$1:$G$1,0))</f>
        <v>Exc</v>
      </c>
      <c r="J392" t="str">
        <f>INDEX(products!$A$1:$G$49,MATCH(orders!$D392,products!$A$1:$A$49,0),MATCH($J$1,products!$A$1:$G$1,0))</f>
        <v>D</v>
      </c>
      <c r="K392" s="1">
        <f>INDEX(products!$A$1:$G$49,MATCH(orders!$D392,products!$A$1:$A$49,0),MATCH($K$1,products!$A$1:$G$1,0))</f>
        <v>0.5</v>
      </c>
      <c r="L392">
        <f>INDEX(products!$A$1:$G$49,MATCH(orders!$D392,products!$A$1:$A$49,0),MATCH($L$1,products!$A$1:$G$1,0))</f>
        <v>7.29</v>
      </c>
      <c r="M392">
        <f t="shared" si="19"/>
        <v>14.58</v>
      </c>
      <c r="N392" t="str">
        <f t="shared" si="20"/>
        <v>Excelsa</v>
      </c>
      <c r="O392" t="str">
        <f t="shared" si="21"/>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_xlfn.XLOOKUP(C393,customers!$A$2:$A$1001,customers!$B$2:$B$1001,0)</f>
        <v>Itch Norquoy</v>
      </c>
      <c r="G393" s="2" t="str">
        <f>_xlfn.XLOOKUP(C393,customers!$A$2:$A$1001,customers!$C$2:$C$1001,0)</f>
        <v>inorquoyav@businessweek.com</v>
      </c>
      <c r="H393" s="2" t="str">
        <f>_xlfn.XLOOKUP(orders!C393,customers!$A$2:$A$1001,customers!$G$2:$G$1001,0)</f>
        <v>United States</v>
      </c>
      <c r="I393" t="str">
        <f>INDEX(products!$A$1:$G$49,MATCH(orders!$D393,products!$A$1:$A$49,0),MATCH($I$1,products!$A$1:$G$1,0))</f>
        <v>Ara</v>
      </c>
      <c r="J393" t="str">
        <f>INDEX(products!$A$1:$G$49,MATCH(orders!$D393,products!$A$1:$A$49,0),MATCH($J$1,products!$A$1:$G$1,0))</f>
        <v>M</v>
      </c>
      <c r="K393" s="1">
        <f>INDEX(products!$A$1:$G$49,MATCH(orders!$D393,products!$A$1:$A$49,0),MATCH($K$1,products!$A$1:$G$1,0))</f>
        <v>0.5</v>
      </c>
      <c r="L393">
        <f>INDEX(products!$A$1:$G$49,MATCH(orders!$D393,products!$A$1:$A$49,0),MATCH($L$1,products!$A$1:$G$1,0))</f>
        <v>6.75</v>
      </c>
      <c r="M393">
        <f t="shared" si="19"/>
        <v>13.5</v>
      </c>
      <c r="N393" t="str">
        <f t="shared" si="20"/>
        <v>Arabica</v>
      </c>
      <c r="O393" t="str">
        <f t="shared" si="21"/>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_xlfn.XLOOKUP(C394,customers!$A$2:$A$1001,customers!$B$2:$B$1001,0)</f>
        <v>Anson Iddison</v>
      </c>
      <c r="G394" s="2" t="str">
        <f>_xlfn.XLOOKUP(C394,customers!$A$2:$A$1001,customers!$C$2:$C$1001,0)</f>
        <v>aiddisonaw@usa.gov</v>
      </c>
      <c r="H394" s="2" t="str">
        <f>_xlfn.XLOOKUP(orders!C394,customers!$A$2:$A$1001,customers!$G$2:$G$1001,0)</f>
        <v>United States</v>
      </c>
      <c r="I394" t="str">
        <f>INDEX(products!$A$1:$G$49,MATCH(orders!$D394,products!$A$1:$A$49,0),MATCH($I$1,products!$A$1:$G$1,0))</f>
        <v>Exc</v>
      </c>
      <c r="J394" t="str">
        <f>INDEX(products!$A$1:$G$49,MATCH(orders!$D394,products!$A$1:$A$49,0),MATCH($J$1,products!$A$1:$G$1,0))</f>
        <v>L</v>
      </c>
      <c r="K394" s="1">
        <f>INDEX(products!$A$1:$G$49,MATCH(orders!$D394,products!$A$1:$A$49,0),MATCH($K$1,products!$A$1:$G$1,0))</f>
        <v>1</v>
      </c>
      <c r="L394">
        <f>INDEX(products!$A$1:$G$49,MATCH(orders!$D394,products!$A$1:$A$49,0),MATCH($L$1,products!$A$1:$G$1,0))</f>
        <v>14.85</v>
      </c>
      <c r="M394">
        <f t="shared" si="19"/>
        <v>89.1</v>
      </c>
      <c r="N394" t="str">
        <f t="shared" si="20"/>
        <v>Excelsa</v>
      </c>
      <c r="O394" t="str">
        <f t="shared" si="21"/>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_xlfn.XLOOKUP(C395,customers!$A$2:$A$1001,customers!$B$2:$B$1001,0)</f>
        <v>Anson Iddison</v>
      </c>
      <c r="G395" s="2" t="str">
        <f>_xlfn.XLOOKUP(C395,customers!$A$2:$A$1001,customers!$C$2:$C$1001,0)</f>
        <v>aiddisonaw@usa.gov</v>
      </c>
      <c r="H395" s="2" t="str">
        <f>_xlfn.XLOOKUP(orders!C395,customers!$A$2:$A$1001,customers!$G$2:$G$1001,0)</f>
        <v>United States</v>
      </c>
      <c r="I395" t="str">
        <f>INDEX(products!$A$1:$G$49,MATCH(orders!$D395,products!$A$1:$A$49,0),MATCH($I$1,products!$A$1:$G$1,0))</f>
        <v>Ara</v>
      </c>
      <c r="J395" t="str">
        <f>INDEX(products!$A$1:$G$49,MATCH(orders!$D395,products!$A$1:$A$49,0),MATCH($J$1,products!$A$1:$G$1,0))</f>
        <v>L</v>
      </c>
      <c r="K395" s="1">
        <f>INDEX(products!$A$1:$G$49,MATCH(orders!$D395,products!$A$1:$A$49,0),MATCH($K$1,products!$A$1:$G$1,0))</f>
        <v>0.2</v>
      </c>
      <c r="L395">
        <f>INDEX(products!$A$1:$G$49,MATCH(orders!$D395,products!$A$1:$A$49,0),MATCH($L$1,products!$A$1:$G$1,0))</f>
        <v>3.8849999999999998</v>
      </c>
      <c r="M395">
        <f t="shared" si="19"/>
        <v>3.8849999999999998</v>
      </c>
      <c r="N395" t="str">
        <f t="shared" si="20"/>
        <v>Arabica</v>
      </c>
      <c r="O395" t="str">
        <f t="shared" si="21"/>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_xlfn.XLOOKUP(C396,customers!$A$2:$A$1001,customers!$B$2:$B$1001,0)</f>
        <v>Randal Longfield</v>
      </c>
      <c r="G396" s="2" t="str">
        <f>_xlfn.XLOOKUP(C396,customers!$A$2:$A$1001,customers!$C$2:$C$1001,0)</f>
        <v>rlongfielday@bluehost.com</v>
      </c>
      <c r="H396" s="2" t="str">
        <f>_xlfn.XLOOKUP(orders!C396,customers!$A$2:$A$1001,customers!$G$2:$G$1001,0)</f>
        <v>United States</v>
      </c>
      <c r="I396" t="str">
        <f>INDEX(products!$A$1:$G$49,MATCH(orders!$D396,products!$A$1:$A$49,0),MATCH($I$1,products!$A$1:$G$1,0))</f>
        <v>Rob</v>
      </c>
      <c r="J396" t="str">
        <f>INDEX(products!$A$1:$G$49,MATCH(orders!$D396,products!$A$1:$A$49,0),MATCH($J$1,products!$A$1:$G$1,0))</f>
        <v>L</v>
      </c>
      <c r="K396" s="1">
        <f>INDEX(products!$A$1:$G$49,MATCH(orders!$D396,products!$A$1:$A$49,0),MATCH($K$1,products!$A$1:$G$1,0))</f>
        <v>2.5</v>
      </c>
      <c r="L396">
        <f>INDEX(products!$A$1:$G$49,MATCH(orders!$D396,products!$A$1:$A$49,0),MATCH($L$1,products!$A$1:$G$1,0))</f>
        <v>27.484999999999996</v>
      </c>
      <c r="M396">
        <f t="shared" si="19"/>
        <v>109.93999999999998</v>
      </c>
      <c r="N396" t="str">
        <f t="shared" si="20"/>
        <v>Robusta</v>
      </c>
      <c r="O396" t="str">
        <f t="shared" si="21"/>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_xlfn.XLOOKUP(C397,customers!$A$2:$A$1001,customers!$B$2:$B$1001,0)</f>
        <v>Gregorius Kislingbury</v>
      </c>
      <c r="G397" s="2" t="str">
        <f>_xlfn.XLOOKUP(C397,customers!$A$2:$A$1001,customers!$C$2:$C$1001,0)</f>
        <v>gkislingburyaz@samsung.com</v>
      </c>
      <c r="H397" s="2" t="str">
        <f>_xlfn.XLOOKUP(orders!C397,customers!$A$2:$A$1001,customers!$G$2:$G$1001,0)</f>
        <v>United States</v>
      </c>
      <c r="I397" t="str">
        <f>INDEX(products!$A$1:$G$49,MATCH(orders!$D397,products!$A$1:$A$49,0),MATCH($I$1,products!$A$1:$G$1,0))</f>
        <v>Lib</v>
      </c>
      <c r="J397" t="str">
        <f>INDEX(products!$A$1:$G$49,MATCH(orders!$D397,products!$A$1:$A$49,0),MATCH($J$1,products!$A$1:$G$1,0))</f>
        <v>D</v>
      </c>
      <c r="K397" s="1">
        <f>INDEX(products!$A$1:$G$49,MATCH(orders!$D397,products!$A$1:$A$49,0),MATCH($K$1,products!$A$1:$G$1,0))</f>
        <v>0.5</v>
      </c>
      <c r="L397">
        <f>INDEX(products!$A$1:$G$49,MATCH(orders!$D397,products!$A$1:$A$49,0),MATCH($L$1,products!$A$1:$G$1,0))</f>
        <v>7.77</v>
      </c>
      <c r="M397">
        <f t="shared" si="19"/>
        <v>46.62</v>
      </c>
      <c r="N397" t="str">
        <f t="shared" si="20"/>
        <v>Liberica</v>
      </c>
      <c r="O397" t="str">
        <f t="shared" si="21"/>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_xlfn.XLOOKUP(C398,customers!$A$2:$A$1001,customers!$B$2:$B$1001,0)</f>
        <v>Xenos Gibbons</v>
      </c>
      <c r="G398" s="2" t="str">
        <f>_xlfn.XLOOKUP(C398,customers!$A$2:$A$1001,customers!$C$2:$C$1001,0)</f>
        <v>xgibbonsb0@artisteer.com</v>
      </c>
      <c r="H398" s="2" t="str">
        <f>_xlfn.XLOOKUP(orders!C398,customers!$A$2:$A$1001,customers!$G$2:$G$1001,0)</f>
        <v>United States</v>
      </c>
      <c r="I398" t="str">
        <f>INDEX(products!$A$1:$G$49,MATCH(orders!$D398,products!$A$1:$A$49,0),MATCH($I$1,products!$A$1:$G$1,0))</f>
        <v>Ara</v>
      </c>
      <c r="J398" t="str">
        <f>INDEX(products!$A$1:$G$49,MATCH(orders!$D398,products!$A$1:$A$49,0),MATCH($J$1,products!$A$1:$G$1,0))</f>
        <v>L</v>
      </c>
      <c r="K398" s="1">
        <f>INDEX(products!$A$1:$G$49,MATCH(orders!$D398,products!$A$1:$A$49,0),MATCH($K$1,products!$A$1:$G$1,0))</f>
        <v>0.5</v>
      </c>
      <c r="L398">
        <f>INDEX(products!$A$1:$G$49,MATCH(orders!$D398,products!$A$1:$A$49,0),MATCH($L$1,products!$A$1:$G$1,0))</f>
        <v>7.77</v>
      </c>
      <c r="M398">
        <f t="shared" si="19"/>
        <v>38.849999999999994</v>
      </c>
      <c r="N398" t="str">
        <f t="shared" si="20"/>
        <v>Arabica</v>
      </c>
      <c r="O398" t="str">
        <f t="shared" si="21"/>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_xlfn.XLOOKUP(C399,customers!$A$2:$A$1001,customers!$B$2:$B$1001,0)</f>
        <v>Fleur Parres</v>
      </c>
      <c r="G399" s="2" t="str">
        <f>_xlfn.XLOOKUP(C399,customers!$A$2:$A$1001,customers!$C$2:$C$1001,0)</f>
        <v>fparresb1@imageshack.us</v>
      </c>
      <c r="H399" s="2" t="str">
        <f>_xlfn.XLOOKUP(orders!C399,customers!$A$2:$A$1001,customers!$G$2:$G$1001,0)</f>
        <v>United States</v>
      </c>
      <c r="I399" t="str">
        <f>INDEX(products!$A$1:$G$49,MATCH(orders!$D399,products!$A$1:$A$49,0),MATCH($I$1,products!$A$1:$G$1,0))</f>
        <v>Lib</v>
      </c>
      <c r="J399" t="str">
        <f>INDEX(products!$A$1:$G$49,MATCH(orders!$D399,products!$A$1:$A$49,0),MATCH($J$1,products!$A$1:$G$1,0))</f>
        <v>D</v>
      </c>
      <c r="K399" s="1">
        <f>INDEX(products!$A$1:$G$49,MATCH(orders!$D399,products!$A$1:$A$49,0),MATCH($K$1,products!$A$1:$G$1,0))</f>
        <v>0.5</v>
      </c>
      <c r="L399">
        <f>INDEX(products!$A$1:$G$49,MATCH(orders!$D399,products!$A$1:$A$49,0),MATCH($L$1,products!$A$1:$G$1,0))</f>
        <v>7.77</v>
      </c>
      <c r="M399">
        <f t="shared" si="19"/>
        <v>31.08</v>
      </c>
      <c r="N399" t="str">
        <f t="shared" si="20"/>
        <v>Liberica</v>
      </c>
      <c r="O399" t="str">
        <f t="shared" si="21"/>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_xlfn.XLOOKUP(C400,customers!$A$2:$A$1001,customers!$B$2:$B$1001,0)</f>
        <v>Gran Sibray</v>
      </c>
      <c r="G400" s="2" t="str">
        <f>_xlfn.XLOOKUP(C400,customers!$A$2:$A$1001,customers!$C$2:$C$1001,0)</f>
        <v>gsibrayb2@wsj.com</v>
      </c>
      <c r="H400" s="2" t="str">
        <f>_xlfn.XLOOKUP(orders!C400,customers!$A$2:$A$1001,customers!$G$2:$G$1001,0)</f>
        <v>United States</v>
      </c>
      <c r="I400" t="str">
        <f>INDEX(products!$A$1:$G$49,MATCH(orders!$D400,products!$A$1:$A$49,0),MATCH($I$1,products!$A$1:$G$1,0))</f>
        <v>Ara</v>
      </c>
      <c r="J400" t="str">
        <f>INDEX(products!$A$1:$G$49,MATCH(orders!$D400,products!$A$1:$A$49,0),MATCH($J$1,products!$A$1:$G$1,0))</f>
        <v>D</v>
      </c>
      <c r="K400" s="1">
        <f>INDEX(products!$A$1:$G$49,MATCH(orders!$D400,products!$A$1:$A$49,0),MATCH($K$1,products!$A$1:$G$1,0))</f>
        <v>0.2</v>
      </c>
      <c r="L400">
        <f>INDEX(products!$A$1:$G$49,MATCH(orders!$D400,products!$A$1:$A$49,0),MATCH($L$1,products!$A$1:$G$1,0))</f>
        <v>2.9849999999999999</v>
      </c>
      <c r="M400">
        <f t="shared" si="19"/>
        <v>17.91</v>
      </c>
      <c r="N400" t="str">
        <f t="shared" si="20"/>
        <v>Arabica</v>
      </c>
      <c r="O400" t="str">
        <f t="shared" si="21"/>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_xlfn.XLOOKUP(C401,customers!$A$2:$A$1001,customers!$B$2:$B$1001,0)</f>
        <v>Ingelbert Hotchkin</v>
      </c>
      <c r="G401" s="2" t="str">
        <f>_xlfn.XLOOKUP(C401,customers!$A$2:$A$1001,customers!$C$2:$C$1001,0)</f>
        <v>ihotchkinb3@mit.edu</v>
      </c>
      <c r="H401" s="2" t="str">
        <f>_xlfn.XLOOKUP(orders!C401,customers!$A$2:$A$1001,customers!$G$2:$G$1001,0)</f>
        <v>United Kingdom</v>
      </c>
      <c r="I401" t="str">
        <f>INDEX(products!$A$1:$G$49,MATCH(orders!$D401,products!$A$1:$A$49,0),MATCH($I$1,products!$A$1:$G$1,0))</f>
        <v>Exc</v>
      </c>
      <c r="J401" t="str">
        <f>INDEX(products!$A$1:$G$49,MATCH(orders!$D401,products!$A$1:$A$49,0),MATCH($J$1,products!$A$1:$G$1,0))</f>
        <v>D</v>
      </c>
      <c r="K401" s="1">
        <f>INDEX(products!$A$1:$G$49,MATCH(orders!$D401,products!$A$1:$A$49,0),MATCH($K$1,products!$A$1:$G$1,0))</f>
        <v>2.5</v>
      </c>
      <c r="L401">
        <f>INDEX(products!$A$1:$G$49,MATCH(orders!$D401,products!$A$1:$A$49,0),MATCH($L$1,products!$A$1:$G$1,0))</f>
        <v>27.945</v>
      </c>
      <c r="M401">
        <f t="shared" si="19"/>
        <v>167.67000000000002</v>
      </c>
      <c r="N401" t="str">
        <f t="shared" si="20"/>
        <v>Excelsa</v>
      </c>
      <c r="O401" t="str">
        <f t="shared" si="21"/>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_xlfn.XLOOKUP(C402,customers!$A$2:$A$1001,customers!$B$2:$B$1001,0)</f>
        <v>Neely Broadberrie</v>
      </c>
      <c r="G402" s="2" t="str">
        <f>_xlfn.XLOOKUP(C402,customers!$A$2:$A$1001,customers!$C$2:$C$1001,0)</f>
        <v>nbroadberrieb4@gnu.org</v>
      </c>
      <c r="H402" s="2" t="str">
        <f>_xlfn.XLOOKUP(orders!C402,customers!$A$2:$A$1001,customers!$G$2:$G$1001,0)</f>
        <v>United States</v>
      </c>
      <c r="I402" t="str">
        <f>INDEX(products!$A$1:$G$49,MATCH(orders!$D402,products!$A$1:$A$49,0),MATCH($I$1,products!$A$1:$G$1,0))</f>
        <v>Lib</v>
      </c>
      <c r="J402" t="str">
        <f>INDEX(products!$A$1:$G$49,MATCH(orders!$D402,products!$A$1:$A$49,0),MATCH($J$1,products!$A$1:$G$1,0))</f>
        <v>L</v>
      </c>
      <c r="K402" s="1">
        <f>INDEX(products!$A$1:$G$49,MATCH(orders!$D402,products!$A$1:$A$49,0),MATCH($K$1,products!$A$1:$G$1,0))</f>
        <v>1</v>
      </c>
      <c r="L402">
        <f>INDEX(products!$A$1:$G$49,MATCH(orders!$D402,products!$A$1:$A$49,0),MATCH($L$1,products!$A$1:$G$1,0))</f>
        <v>15.85</v>
      </c>
      <c r="M402">
        <f t="shared" si="19"/>
        <v>63.4</v>
      </c>
      <c r="N402" t="str">
        <f t="shared" si="20"/>
        <v>Liberica</v>
      </c>
      <c r="O402" t="str">
        <f t="shared" si="21"/>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_xlfn.XLOOKUP(C403,customers!$A$2:$A$1001,customers!$B$2:$B$1001,0)</f>
        <v>Rutger Pithcock</v>
      </c>
      <c r="G403" s="2" t="str">
        <f>_xlfn.XLOOKUP(C403,customers!$A$2:$A$1001,customers!$C$2:$C$1001,0)</f>
        <v>rpithcockb5@yellowbook.com</v>
      </c>
      <c r="H403" s="2" t="str">
        <f>_xlfn.XLOOKUP(orders!C403,customers!$A$2:$A$1001,customers!$G$2:$G$1001,0)</f>
        <v>United States</v>
      </c>
      <c r="I403" t="str">
        <f>INDEX(products!$A$1:$G$49,MATCH(orders!$D403,products!$A$1:$A$49,0),MATCH($I$1,products!$A$1:$G$1,0))</f>
        <v>Lib</v>
      </c>
      <c r="J403" t="str">
        <f>INDEX(products!$A$1:$G$49,MATCH(orders!$D403,products!$A$1:$A$49,0),MATCH($J$1,products!$A$1:$G$1,0))</f>
        <v>M</v>
      </c>
      <c r="K403" s="1">
        <f>INDEX(products!$A$1:$G$49,MATCH(orders!$D403,products!$A$1:$A$49,0),MATCH($K$1,products!$A$1:$G$1,0))</f>
        <v>0.2</v>
      </c>
      <c r="L403">
        <f>INDEX(products!$A$1:$G$49,MATCH(orders!$D403,products!$A$1:$A$49,0),MATCH($L$1,products!$A$1:$G$1,0))</f>
        <v>4.3650000000000002</v>
      </c>
      <c r="M403">
        <f t="shared" si="19"/>
        <v>8.73</v>
      </c>
      <c r="N403" t="str">
        <f t="shared" si="20"/>
        <v>Liberica</v>
      </c>
      <c r="O403" t="str">
        <f t="shared" si="21"/>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_xlfn.XLOOKUP(C404,customers!$A$2:$A$1001,customers!$B$2:$B$1001,0)</f>
        <v>Gale Croysdale</v>
      </c>
      <c r="G404" s="2" t="str">
        <f>_xlfn.XLOOKUP(C404,customers!$A$2:$A$1001,customers!$C$2:$C$1001,0)</f>
        <v>gcroysdaleb6@nih.gov</v>
      </c>
      <c r="H404" s="2" t="str">
        <f>_xlfn.XLOOKUP(orders!C404,customers!$A$2:$A$1001,customers!$G$2:$G$1001,0)</f>
        <v>United States</v>
      </c>
      <c r="I404" t="str">
        <f>INDEX(products!$A$1:$G$49,MATCH(orders!$D404,products!$A$1:$A$49,0),MATCH($I$1,products!$A$1:$G$1,0))</f>
        <v>Rob</v>
      </c>
      <c r="J404" t="str">
        <f>INDEX(products!$A$1:$G$49,MATCH(orders!$D404,products!$A$1:$A$49,0),MATCH($J$1,products!$A$1:$G$1,0))</f>
        <v>D</v>
      </c>
      <c r="K404" s="1">
        <f>INDEX(products!$A$1:$G$49,MATCH(orders!$D404,products!$A$1:$A$49,0),MATCH($K$1,products!$A$1:$G$1,0))</f>
        <v>1</v>
      </c>
      <c r="L404">
        <f>INDEX(products!$A$1:$G$49,MATCH(orders!$D404,products!$A$1:$A$49,0),MATCH($L$1,products!$A$1:$G$1,0))</f>
        <v>8.9499999999999993</v>
      </c>
      <c r="M404">
        <f t="shared" si="19"/>
        <v>26.849999999999998</v>
      </c>
      <c r="N404" t="str">
        <f t="shared" si="20"/>
        <v>Robusta</v>
      </c>
      <c r="O404" t="str">
        <f t="shared" si="21"/>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_xlfn.XLOOKUP(C405,customers!$A$2:$A$1001,customers!$B$2:$B$1001,0)</f>
        <v>Benedetto Gozzett</v>
      </c>
      <c r="G405" s="2" t="str">
        <f>_xlfn.XLOOKUP(C405,customers!$A$2:$A$1001,customers!$C$2:$C$1001,0)</f>
        <v>bgozzettb7@github.com</v>
      </c>
      <c r="H405" s="2" t="str">
        <f>_xlfn.XLOOKUP(orders!C405,customers!$A$2:$A$1001,customers!$G$2:$G$1001,0)</f>
        <v>United States</v>
      </c>
      <c r="I405" t="str">
        <f>INDEX(products!$A$1:$G$49,MATCH(orders!$D405,products!$A$1:$A$49,0),MATCH($I$1,products!$A$1:$G$1,0))</f>
        <v>Lib</v>
      </c>
      <c r="J405" t="str">
        <f>INDEX(products!$A$1:$G$49,MATCH(orders!$D405,products!$A$1:$A$49,0),MATCH($J$1,products!$A$1:$G$1,0))</f>
        <v>L</v>
      </c>
      <c r="K405" s="1">
        <f>INDEX(products!$A$1:$G$49,MATCH(orders!$D405,products!$A$1:$A$49,0),MATCH($K$1,products!$A$1:$G$1,0))</f>
        <v>0.2</v>
      </c>
      <c r="L405">
        <f>INDEX(products!$A$1:$G$49,MATCH(orders!$D405,products!$A$1:$A$49,0),MATCH($L$1,products!$A$1:$G$1,0))</f>
        <v>4.7549999999999999</v>
      </c>
      <c r="M405">
        <f t="shared" si="19"/>
        <v>9.51</v>
      </c>
      <c r="N405" t="str">
        <f t="shared" si="20"/>
        <v>Liberica</v>
      </c>
      <c r="O405" t="str">
        <f t="shared" si="21"/>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_xlfn.XLOOKUP(C406,customers!$A$2:$A$1001,customers!$B$2:$B$1001,0)</f>
        <v>Tania Craggs</v>
      </c>
      <c r="G406" s="2" t="str">
        <f>_xlfn.XLOOKUP(C406,customers!$A$2:$A$1001,customers!$C$2:$C$1001,0)</f>
        <v>tcraggsb8@house.gov</v>
      </c>
      <c r="H406" s="2" t="str">
        <f>_xlfn.XLOOKUP(orders!C406,customers!$A$2:$A$1001,customers!$G$2:$G$1001,0)</f>
        <v>Ireland</v>
      </c>
      <c r="I406" t="str">
        <f>INDEX(products!$A$1:$G$49,MATCH(orders!$D406,products!$A$1:$A$49,0),MATCH($I$1,products!$A$1:$G$1,0))</f>
        <v>Ara</v>
      </c>
      <c r="J406" t="str">
        <f>INDEX(products!$A$1:$G$49,MATCH(orders!$D406,products!$A$1:$A$49,0),MATCH($J$1,products!$A$1:$G$1,0))</f>
        <v>D</v>
      </c>
      <c r="K406" s="1">
        <f>INDEX(products!$A$1:$G$49,MATCH(orders!$D406,products!$A$1:$A$49,0),MATCH($K$1,products!$A$1:$G$1,0))</f>
        <v>1</v>
      </c>
      <c r="L406">
        <f>INDEX(products!$A$1:$G$49,MATCH(orders!$D406,products!$A$1:$A$49,0),MATCH($L$1,products!$A$1:$G$1,0))</f>
        <v>9.9499999999999993</v>
      </c>
      <c r="M406">
        <f t="shared" si="19"/>
        <v>39.799999999999997</v>
      </c>
      <c r="N406" t="str">
        <f t="shared" si="20"/>
        <v>Arabica</v>
      </c>
      <c r="O406" t="str">
        <f t="shared" si="21"/>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_xlfn.XLOOKUP(C407,customers!$A$2:$A$1001,customers!$B$2:$B$1001,0)</f>
        <v>Leonie Cullrford</v>
      </c>
      <c r="G407" s="2" t="str">
        <f>_xlfn.XLOOKUP(C407,customers!$A$2:$A$1001,customers!$C$2:$C$1001,0)</f>
        <v>lcullrfordb9@xing.com</v>
      </c>
      <c r="H407" s="2" t="str">
        <f>_xlfn.XLOOKUP(orders!C407,customers!$A$2:$A$1001,customers!$G$2:$G$1001,0)</f>
        <v>United States</v>
      </c>
      <c r="I407" t="str">
        <f>INDEX(products!$A$1:$G$49,MATCH(orders!$D407,products!$A$1:$A$49,0),MATCH($I$1,products!$A$1:$G$1,0))</f>
        <v>Exc</v>
      </c>
      <c r="J407" t="str">
        <f>INDEX(products!$A$1:$G$49,MATCH(orders!$D407,products!$A$1:$A$49,0),MATCH($J$1,products!$A$1:$G$1,0))</f>
        <v>M</v>
      </c>
      <c r="K407" s="1">
        <f>INDEX(products!$A$1:$G$49,MATCH(orders!$D407,products!$A$1:$A$49,0),MATCH($K$1,products!$A$1:$G$1,0))</f>
        <v>0.5</v>
      </c>
      <c r="L407">
        <f>INDEX(products!$A$1:$G$49,MATCH(orders!$D407,products!$A$1:$A$49,0),MATCH($L$1,products!$A$1:$G$1,0))</f>
        <v>8.25</v>
      </c>
      <c r="M407">
        <f t="shared" si="19"/>
        <v>24.75</v>
      </c>
      <c r="N407" t="str">
        <f t="shared" si="20"/>
        <v>Excelsa</v>
      </c>
      <c r="O407" t="str">
        <f t="shared" si="21"/>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_xlfn.XLOOKUP(C408,customers!$A$2:$A$1001,customers!$B$2:$B$1001,0)</f>
        <v>Auguste Rizon</v>
      </c>
      <c r="G408" s="2" t="str">
        <f>_xlfn.XLOOKUP(C408,customers!$A$2:$A$1001,customers!$C$2:$C$1001,0)</f>
        <v>arizonba@xing.com</v>
      </c>
      <c r="H408" s="2" t="str">
        <f>_xlfn.XLOOKUP(orders!C408,customers!$A$2:$A$1001,customers!$G$2:$G$1001,0)</f>
        <v>United States</v>
      </c>
      <c r="I408" t="str">
        <f>INDEX(products!$A$1:$G$49,MATCH(orders!$D408,products!$A$1:$A$49,0),MATCH($I$1,products!$A$1:$G$1,0))</f>
        <v>Exc</v>
      </c>
      <c r="J408" t="str">
        <f>INDEX(products!$A$1:$G$49,MATCH(orders!$D408,products!$A$1:$A$49,0),MATCH($J$1,products!$A$1:$G$1,0))</f>
        <v>M</v>
      </c>
      <c r="K408" s="1">
        <f>INDEX(products!$A$1:$G$49,MATCH(orders!$D408,products!$A$1:$A$49,0),MATCH($K$1,products!$A$1:$G$1,0))</f>
        <v>1</v>
      </c>
      <c r="L408">
        <f>INDEX(products!$A$1:$G$49,MATCH(orders!$D408,products!$A$1:$A$49,0),MATCH($L$1,products!$A$1:$G$1,0))</f>
        <v>13.75</v>
      </c>
      <c r="M408">
        <f t="shared" si="19"/>
        <v>68.75</v>
      </c>
      <c r="N408" t="str">
        <f t="shared" si="20"/>
        <v>Excelsa</v>
      </c>
      <c r="O408" t="str">
        <f t="shared" si="21"/>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_xlfn.XLOOKUP(C409,customers!$A$2:$A$1001,customers!$B$2:$B$1001,0)</f>
        <v>Lorin Guerrazzi</v>
      </c>
      <c r="G409" s="2">
        <f>_xlfn.XLOOKUP(C409,customers!$A$2:$A$1001,customers!$C$2:$C$1001,0)</f>
        <v>0</v>
      </c>
      <c r="H409" s="2" t="str">
        <f>_xlfn.XLOOKUP(orders!C409,customers!$A$2:$A$1001,customers!$G$2:$G$1001,0)</f>
        <v>Ireland</v>
      </c>
      <c r="I409" t="str">
        <f>INDEX(products!$A$1:$G$49,MATCH(orders!$D409,products!$A$1:$A$49,0),MATCH($I$1,products!$A$1:$G$1,0))</f>
        <v>Exc</v>
      </c>
      <c r="J409" t="str">
        <f>INDEX(products!$A$1:$G$49,MATCH(orders!$D409,products!$A$1:$A$49,0),MATCH($J$1,products!$A$1:$G$1,0))</f>
        <v>M</v>
      </c>
      <c r="K409" s="1">
        <f>INDEX(products!$A$1:$G$49,MATCH(orders!$D409,products!$A$1:$A$49,0),MATCH($K$1,products!$A$1:$G$1,0))</f>
        <v>0.5</v>
      </c>
      <c r="L409">
        <f>INDEX(products!$A$1:$G$49,MATCH(orders!$D409,products!$A$1:$A$49,0),MATCH($L$1,products!$A$1:$G$1,0))</f>
        <v>8.25</v>
      </c>
      <c r="M409">
        <f t="shared" si="19"/>
        <v>49.5</v>
      </c>
      <c r="N409" t="str">
        <f t="shared" si="20"/>
        <v>Excelsa</v>
      </c>
      <c r="O409" t="str">
        <f t="shared" si="21"/>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_xlfn.XLOOKUP(C410,customers!$A$2:$A$1001,customers!$B$2:$B$1001,0)</f>
        <v>Felice Miell</v>
      </c>
      <c r="G410" s="2" t="str">
        <f>_xlfn.XLOOKUP(C410,customers!$A$2:$A$1001,customers!$C$2:$C$1001,0)</f>
        <v>fmiellbc@spiegel.de</v>
      </c>
      <c r="H410" s="2" t="str">
        <f>_xlfn.XLOOKUP(orders!C410,customers!$A$2:$A$1001,customers!$G$2:$G$1001,0)</f>
        <v>United States</v>
      </c>
      <c r="I410" t="str">
        <f>INDEX(products!$A$1:$G$49,MATCH(orders!$D410,products!$A$1:$A$49,0),MATCH($I$1,products!$A$1:$G$1,0))</f>
        <v>Ara</v>
      </c>
      <c r="J410" t="str">
        <f>INDEX(products!$A$1:$G$49,MATCH(orders!$D410,products!$A$1:$A$49,0),MATCH($J$1,products!$A$1:$G$1,0))</f>
        <v>M</v>
      </c>
      <c r="K410" s="1">
        <f>INDEX(products!$A$1:$G$49,MATCH(orders!$D410,products!$A$1:$A$49,0),MATCH($K$1,products!$A$1:$G$1,0))</f>
        <v>2.5</v>
      </c>
      <c r="L410">
        <f>INDEX(products!$A$1:$G$49,MATCH(orders!$D410,products!$A$1:$A$49,0),MATCH($L$1,products!$A$1:$G$1,0))</f>
        <v>25.874999999999996</v>
      </c>
      <c r="M410">
        <f t="shared" si="19"/>
        <v>51.749999999999993</v>
      </c>
      <c r="N410" t="str">
        <f t="shared" si="20"/>
        <v>Arabica</v>
      </c>
      <c r="O410" t="str">
        <f t="shared" si="21"/>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_xlfn.XLOOKUP(C411,customers!$A$2:$A$1001,customers!$B$2:$B$1001,0)</f>
        <v>Hamish Skeech</v>
      </c>
      <c r="G411" s="2">
        <f>_xlfn.XLOOKUP(C411,customers!$A$2:$A$1001,customers!$C$2:$C$1001,0)</f>
        <v>0</v>
      </c>
      <c r="H411" s="2" t="str">
        <f>_xlfn.XLOOKUP(orders!C411,customers!$A$2:$A$1001,customers!$G$2:$G$1001,0)</f>
        <v>Ireland</v>
      </c>
      <c r="I411" t="str">
        <f>INDEX(products!$A$1:$G$49,MATCH(orders!$D411,products!$A$1:$A$49,0),MATCH($I$1,products!$A$1:$G$1,0))</f>
        <v>Lib</v>
      </c>
      <c r="J411" t="str">
        <f>INDEX(products!$A$1:$G$49,MATCH(orders!$D411,products!$A$1:$A$49,0),MATCH($J$1,products!$A$1:$G$1,0))</f>
        <v>L</v>
      </c>
      <c r="K411" s="1">
        <f>INDEX(products!$A$1:$G$49,MATCH(orders!$D411,products!$A$1:$A$49,0),MATCH($K$1,products!$A$1:$G$1,0))</f>
        <v>1</v>
      </c>
      <c r="L411">
        <f>INDEX(products!$A$1:$G$49,MATCH(orders!$D411,products!$A$1:$A$49,0),MATCH($L$1,products!$A$1:$G$1,0))</f>
        <v>15.85</v>
      </c>
      <c r="M411">
        <f t="shared" si="19"/>
        <v>47.55</v>
      </c>
      <c r="N411" t="str">
        <f t="shared" si="20"/>
        <v>Liberica</v>
      </c>
      <c r="O411" t="str">
        <f t="shared" si="21"/>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_xlfn.XLOOKUP(C412,customers!$A$2:$A$1001,customers!$B$2:$B$1001,0)</f>
        <v>Giordano Lorenzin</v>
      </c>
      <c r="G412" s="2">
        <f>_xlfn.XLOOKUP(C412,customers!$A$2:$A$1001,customers!$C$2:$C$1001,0)</f>
        <v>0</v>
      </c>
      <c r="H412" s="2" t="str">
        <f>_xlfn.XLOOKUP(orders!C412,customers!$A$2:$A$1001,customers!$G$2:$G$1001,0)</f>
        <v>United States</v>
      </c>
      <c r="I412" t="str">
        <f>INDEX(products!$A$1:$G$49,MATCH(orders!$D412,products!$A$1:$A$49,0),MATCH($I$1,products!$A$1:$G$1,0))</f>
        <v>Ara</v>
      </c>
      <c r="J412" t="str">
        <f>INDEX(products!$A$1:$G$49,MATCH(orders!$D412,products!$A$1:$A$49,0),MATCH($J$1,products!$A$1:$G$1,0))</f>
        <v>L</v>
      </c>
      <c r="K412" s="1">
        <f>INDEX(products!$A$1:$G$49,MATCH(orders!$D412,products!$A$1:$A$49,0),MATCH($K$1,products!$A$1:$G$1,0))</f>
        <v>0.2</v>
      </c>
      <c r="L412">
        <f>INDEX(products!$A$1:$G$49,MATCH(orders!$D412,products!$A$1:$A$49,0),MATCH($L$1,products!$A$1:$G$1,0))</f>
        <v>3.8849999999999998</v>
      </c>
      <c r="M412">
        <f t="shared" si="19"/>
        <v>15.54</v>
      </c>
      <c r="N412" t="str">
        <f t="shared" si="20"/>
        <v>Arabica</v>
      </c>
      <c r="O412" t="str">
        <f t="shared" si="21"/>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_xlfn.XLOOKUP(C413,customers!$A$2:$A$1001,customers!$B$2:$B$1001,0)</f>
        <v>Harwilll Bishell</v>
      </c>
      <c r="G413" s="2">
        <f>_xlfn.XLOOKUP(C413,customers!$A$2:$A$1001,customers!$C$2:$C$1001,0)</f>
        <v>0</v>
      </c>
      <c r="H413" s="2" t="str">
        <f>_xlfn.XLOOKUP(orders!C413,customers!$A$2:$A$1001,customers!$G$2:$G$1001,0)</f>
        <v>United States</v>
      </c>
      <c r="I413" t="str">
        <f>INDEX(products!$A$1:$G$49,MATCH(orders!$D413,products!$A$1:$A$49,0),MATCH($I$1,products!$A$1:$G$1,0))</f>
        <v>Lib</v>
      </c>
      <c r="J413" t="str">
        <f>INDEX(products!$A$1:$G$49,MATCH(orders!$D413,products!$A$1:$A$49,0),MATCH($J$1,products!$A$1:$G$1,0))</f>
        <v>M</v>
      </c>
      <c r="K413" s="1">
        <f>INDEX(products!$A$1:$G$49,MATCH(orders!$D413,products!$A$1:$A$49,0),MATCH($K$1,products!$A$1:$G$1,0))</f>
        <v>1</v>
      </c>
      <c r="L413">
        <f>INDEX(products!$A$1:$G$49,MATCH(orders!$D413,products!$A$1:$A$49,0),MATCH($L$1,products!$A$1:$G$1,0))</f>
        <v>14.55</v>
      </c>
      <c r="M413">
        <f t="shared" si="19"/>
        <v>87.300000000000011</v>
      </c>
      <c r="N413" t="str">
        <f t="shared" si="20"/>
        <v>Liberica</v>
      </c>
      <c r="O413" t="str">
        <f t="shared" si="21"/>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_xlfn.XLOOKUP(C414,customers!$A$2:$A$1001,customers!$B$2:$B$1001,0)</f>
        <v>Freeland Missenden</v>
      </c>
      <c r="G414" s="2">
        <f>_xlfn.XLOOKUP(C414,customers!$A$2:$A$1001,customers!$C$2:$C$1001,0)</f>
        <v>0</v>
      </c>
      <c r="H414" s="2" t="str">
        <f>_xlfn.XLOOKUP(orders!C414,customers!$A$2:$A$1001,customers!$G$2:$G$1001,0)</f>
        <v>United States</v>
      </c>
      <c r="I414" t="str">
        <f>INDEX(products!$A$1:$G$49,MATCH(orders!$D414,products!$A$1:$A$49,0),MATCH($I$1,products!$A$1:$G$1,0))</f>
        <v>Ara</v>
      </c>
      <c r="J414" t="str">
        <f>INDEX(products!$A$1:$G$49,MATCH(orders!$D414,products!$A$1:$A$49,0),MATCH($J$1,products!$A$1:$G$1,0))</f>
        <v>M</v>
      </c>
      <c r="K414" s="1">
        <f>INDEX(products!$A$1:$G$49,MATCH(orders!$D414,products!$A$1:$A$49,0),MATCH($K$1,products!$A$1:$G$1,0))</f>
        <v>1</v>
      </c>
      <c r="L414">
        <f>INDEX(products!$A$1:$G$49,MATCH(orders!$D414,products!$A$1:$A$49,0),MATCH($L$1,products!$A$1:$G$1,0))</f>
        <v>11.25</v>
      </c>
      <c r="M414">
        <f t="shared" si="19"/>
        <v>56.25</v>
      </c>
      <c r="N414" t="str">
        <f t="shared" si="20"/>
        <v>Arabica</v>
      </c>
      <c r="O414" t="str">
        <f t="shared" si="21"/>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_xlfn.XLOOKUP(C415,customers!$A$2:$A$1001,customers!$B$2:$B$1001,0)</f>
        <v>Waylan Springall</v>
      </c>
      <c r="G415" s="2" t="str">
        <f>_xlfn.XLOOKUP(C415,customers!$A$2:$A$1001,customers!$C$2:$C$1001,0)</f>
        <v>wspringallbh@jugem.jp</v>
      </c>
      <c r="H415" s="2" t="str">
        <f>_xlfn.XLOOKUP(orders!C415,customers!$A$2:$A$1001,customers!$G$2:$G$1001,0)</f>
        <v>United States</v>
      </c>
      <c r="I415" t="str">
        <f>INDEX(products!$A$1:$G$49,MATCH(orders!$D415,products!$A$1:$A$49,0),MATCH($I$1,products!$A$1:$G$1,0))</f>
        <v>Lib</v>
      </c>
      <c r="J415" t="str">
        <f>INDEX(products!$A$1:$G$49,MATCH(orders!$D415,products!$A$1:$A$49,0),MATCH($J$1,products!$A$1:$G$1,0))</f>
        <v>L</v>
      </c>
      <c r="K415" s="1">
        <f>INDEX(products!$A$1:$G$49,MATCH(orders!$D415,products!$A$1:$A$49,0),MATCH($K$1,products!$A$1:$G$1,0))</f>
        <v>2.5</v>
      </c>
      <c r="L415">
        <f>INDEX(products!$A$1:$G$49,MATCH(orders!$D415,products!$A$1:$A$49,0),MATCH($L$1,products!$A$1:$G$1,0))</f>
        <v>36.454999999999998</v>
      </c>
      <c r="M415">
        <f t="shared" si="19"/>
        <v>36.454999999999998</v>
      </c>
      <c r="N415" t="str">
        <f t="shared" si="20"/>
        <v>Liberica</v>
      </c>
      <c r="O415" t="str">
        <f t="shared" si="21"/>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_xlfn.XLOOKUP(C416,customers!$A$2:$A$1001,customers!$B$2:$B$1001,0)</f>
        <v>Kiri Avramow</v>
      </c>
      <c r="G416" s="2">
        <f>_xlfn.XLOOKUP(C416,customers!$A$2:$A$1001,customers!$C$2:$C$1001,0)</f>
        <v>0</v>
      </c>
      <c r="H416" s="2" t="str">
        <f>_xlfn.XLOOKUP(orders!C416,customers!$A$2:$A$1001,customers!$G$2:$G$1001,0)</f>
        <v>United States</v>
      </c>
      <c r="I416" t="str">
        <f>INDEX(products!$A$1:$G$49,MATCH(orders!$D416,products!$A$1:$A$49,0),MATCH($I$1,products!$A$1:$G$1,0))</f>
        <v>Rob</v>
      </c>
      <c r="J416" t="str">
        <f>INDEX(products!$A$1:$G$49,MATCH(orders!$D416,products!$A$1:$A$49,0),MATCH($J$1,products!$A$1:$G$1,0))</f>
        <v>L</v>
      </c>
      <c r="K416" s="1">
        <f>INDEX(products!$A$1:$G$49,MATCH(orders!$D416,products!$A$1:$A$49,0),MATCH($K$1,products!$A$1:$G$1,0))</f>
        <v>0.2</v>
      </c>
      <c r="L416">
        <f>INDEX(products!$A$1:$G$49,MATCH(orders!$D416,products!$A$1:$A$49,0),MATCH($L$1,products!$A$1:$G$1,0))</f>
        <v>3.5849999999999995</v>
      </c>
      <c r="M416">
        <f t="shared" si="19"/>
        <v>10.754999999999999</v>
      </c>
      <c r="N416" t="str">
        <f t="shared" si="20"/>
        <v>Robusta</v>
      </c>
      <c r="O416" t="str">
        <f t="shared" si="21"/>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_xlfn.XLOOKUP(C417,customers!$A$2:$A$1001,customers!$B$2:$B$1001,0)</f>
        <v>Gregg Hawkyens</v>
      </c>
      <c r="G417" s="2" t="str">
        <f>_xlfn.XLOOKUP(C417,customers!$A$2:$A$1001,customers!$C$2:$C$1001,0)</f>
        <v>ghawkyensbj@census.gov</v>
      </c>
      <c r="H417" s="2" t="str">
        <f>_xlfn.XLOOKUP(orders!C417,customers!$A$2:$A$1001,customers!$G$2:$G$1001,0)</f>
        <v>United States</v>
      </c>
      <c r="I417" t="str">
        <f>INDEX(products!$A$1:$G$49,MATCH(orders!$D417,products!$A$1:$A$49,0),MATCH($I$1,products!$A$1:$G$1,0))</f>
        <v>Rob</v>
      </c>
      <c r="J417" t="str">
        <f>INDEX(products!$A$1:$G$49,MATCH(orders!$D417,products!$A$1:$A$49,0),MATCH($J$1,products!$A$1:$G$1,0))</f>
        <v>M</v>
      </c>
      <c r="K417" s="1">
        <f>INDEX(products!$A$1:$G$49,MATCH(orders!$D417,products!$A$1:$A$49,0),MATCH($K$1,products!$A$1:$G$1,0))</f>
        <v>0.2</v>
      </c>
      <c r="L417">
        <f>INDEX(products!$A$1:$G$49,MATCH(orders!$D417,products!$A$1:$A$49,0),MATCH($L$1,products!$A$1:$G$1,0))</f>
        <v>2.9849999999999999</v>
      </c>
      <c r="M417">
        <f t="shared" si="19"/>
        <v>8.9550000000000001</v>
      </c>
      <c r="N417" t="str">
        <f t="shared" si="20"/>
        <v>Robusta</v>
      </c>
      <c r="O417" t="str">
        <f t="shared" si="21"/>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_xlfn.XLOOKUP(C418,customers!$A$2:$A$1001,customers!$B$2:$B$1001,0)</f>
        <v>Reggis Pracy</v>
      </c>
      <c r="G418" s="2">
        <f>_xlfn.XLOOKUP(C418,customers!$A$2:$A$1001,customers!$C$2:$C$1001,0)</f>
        <v>0</v>
      </c>
      <c r="H418" s="2" t="str">
        <f>_xlfn.XLOOKUP(orders!C418,customers!$A$2:$A$1001,customers!$G$2:$G$1001,0)</f>
        <v>United States</v>
      </c>
      <c r="I418" t="str">
        <f>INDEX(products!$A$1:$G$49,MATCH(orders!$D418,products!$A$1:$A$49,0),MATCH($I$1,products!$A$1:$G$1,0))</f>
        <v>Ara</v>
      </c>
      <c r="J418" t="str">
        <f>INDEX(products!$A$1:$G$49,MATCH(orders!$D418,products!$A$1:$A$49,0),MATCH($J$1,products!$A$1:$G$1,0))</f>
        <v>L</v>
      </c>
      <c r="K418" s="1">
        <f>INDEX(products!$A$1:$G$49,MATCH(orders!$D418,products!$A$1:$A$49,0),MATCH($K$1,products!$A$1:$G$1,0))</f>
        <v>0.5</v>
      </c>
      <c r="L418">
        <f>INDEX(products!$A$1:$G$49,MATCH(orders!$D418,products!$A$1:$A$49,0),MATCH($L$1,products!$A$1:$G$1,0))</f>
        <v>7.77</v>
      </c>
      <c r="M418">
        <f t="shared" si="19"/>
        <v>23.31</v>
      </c>
      <c r="N418" t="str">
        <f t="shared" si="20"/>
        <v>Arabica</v>
      </c>
      <c r="O418" t="str">
        <f t="shared" si="21"/>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_xlfn.XLOOKUP(C419,customers!$A$2:$A$1001,customers!$B$2:$B$1001,0)</f>
        <v>Paula Denis</v>
      </c>
      <c r="G419" s="2">
        <f>_xlfn.XLOOKUP(C419,customers!$A$2:$A$1001,customers!$C$2:$C$1001,0)</f>
        <v>0</v>
      </c>
      <c r="H419" s="2" t="str">
        <f>_xlfn.XLOOKUP(orders!C419,customers!$A$2:$A$1001,customers!$G$2:$G$1001,0)</f>
        <v>United States</v>
      </c>
      <c r="I419" t="str">
        <f>INDEX(products!$A$1:$G$49,MATCH(orders!$D419,products!$A$1:$A$49,0),MATCH($I$1,products!$A$1:$G$1,0))</f>
        <v>Ara</v>
      </c>
      <c r="J419" t="str">
        <f>INDEX(products!$A$1:$G$49,MATCH(orders!$D419,products!$A$1:$A$49,0),MATCH($J$1,products!$A$1:$G$1,0))</f>
        <v>L</v>
      </c>
      <c r="K419" s="1">
        <f>INDEX(products!$A$1:$G$49,MATCH(orders!$D419,products!$A$1:$A$49,0),MATCH($K$1,products!$A$1:$G$1,0))</f>
        <v>2.5</v>
      </c>
      <c r="L419">
        <f>INDEX(products!$A$1:$G$49,MATCH(orders!$D419,products!$A$1:$A$49,0),MATCH($L$1,products!$A$1:$G$1,0))</f>
        <v>29.784999999999997</v>
      </c>
      <c r="M419">
        <f t="shared" si="19"/>
        <v>29.784999999999997</v>
      </c>
      <c r="N419" t="str">
        <f t="shared" si="20"/>
        <v>Arabica</v>
      </c>
      <c r="O419" t="str">
        <f t="shared" si="21"/>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_xlfn.XLOOKUP(C420,customers!$A$2:$A$1001,customers!$B$2:$B$1001,0)</f>
        <v>Broderick McGilvra</v>
      </c>
      <c r="G420" s="2" t="str">
        <f>_xlfn.XLOOKUP(C420,customers!$A$2:$A$1001,customers!$C$2:$C$1001,0)</f>
        <v>bmcgilvrabm@so-net.ne.jp</v>
      </c>
      <c r="H420" s="2" t="str">
        <f>_xlfn.XLOOKUP(orders!C420,customers!$A$2:$A$1001,customers!$G$2:$G$1001,0)</f>
        <v>United States</v>
      </c>
      <c r="I420" t="str">
        <f>INDEX(products!$A$1:$G$49,MATCH(orders!$D420,products!$A$1:$A$49,0),MATCH($I$1,products!$A$1:$G$1,0))</f>
        <v>Ara</v>
      </c>
      <c r="J420" t="str">
        <f>INDEX(products!$A$1:$G$49,MATCH(orders!$D420,products!$A$1:$A$49,0),MATCH($J$1,products!$A$1:$G$1,0))</f>
        <v>L</v>
      </c>
      <c r="K420" s="1">
        <f>INDEX(products!$A$1:$G$49,MATCH(orders!$D420,products!$A$1:$A$49,0),MATCH($K$1,products!$A$1:$G$1,0))</f>
        <v>2.5</v>
      </c>
      <c r="L420">
        <f>INDEX(products!$A$1:$G$49,MATCH(orders!$D420,products!$A$1:$A$49,0),MATCH($L$1,products!$A$1:$G$1,0))</f>
        <v>29.784999999999997</v>
      </c>
      <c r="M420">
        <f t="shared" si="19"/>
        <v>148.92499999999998</v>
      </c>
      <c r="N420" t="str">
        <f t="shared" si="20"/>
        <v>Arabica</v>
      </c>
      <c r="O420" t="str">
        <f t="shared" si="21"/>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_xlfn.XLOOKUP(C421,customers!$A$2:$A$1001,customers!$B$2:$B$1001,0)</f>
        <v>Annabella Danzey</v>
      </c>
      <c r="G421" s="2" t="str">
        <f>_xlfn.XLOOKUP(C421,customers!$A$2:$A$1001,customers!$C$2:$C$1001,0)</f>
        <v>adanzeybn@github.com</v>
      </c>
      <c r="H421" s="2" t="str">
        <f>_xlfn.XLOOKUP(orders!C421,customers!$A$2:$A$1001,customers!$G$2:$G$1001,0)</f>
        <v>United States</v>
      </c>
      <c r="I421" t="str">
        <f>INDEX(products!$A$1:$G$49,MATCH(orders!$D421,products!$A$1:$A$49,0),MATCH($I$1,products!$A$1:$G$1,0))</f>
        <v>Lib</v>
      </c>
      <c r="J421" t="str">
        <f>INDEX(products!$A$1:$G$49,MATCH(orders!$D421,products!$A$1:$A$49,0),MATCH($J$1,products!$A$1:$G$1,0))</f>
        <v>M</v>
      </c>
      <c r="K421" s="1">
        <f>INDEX(products!$A$1:$G$49,MATCH(orders!$D421,products!$A$1:$A$49,0),MATCH($K$1,products!$A$1:$G$1,0))</f>
        <v>0.5</v>
      </c>
      <c r="L421">
        <f>INDEX(products!$A$1:$G$49,MATCH(orders!$D421,products!$A$1:$A$49,0),MATCH($L$1,products!$A$1:$G$1,0))</f>
        <v>8.73</v>
      </c>
      <c r="M421">
        <f t="shared" si="19"/>
        <v>8.73</v>
      </c>
      <c r="N421" t="str">
        <f t="shared" si="20"/>
        <v>Liberica</v>
      </c>
      <c r="O421" t="str">
        <f t="shared" si="21"/>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_xlfn.XLOOKUP(C422,customers!$A$2:$A$1001,customers!$B$2:$B$1001,0)</f>
        <v>Terri Farra</v>
      </c>
      <c r="G422" s="2" t="str">
        <f>_xlfn.XLOOKUP(C422,customers!$A$2:$A$1001,customers!$C$2:$C$1001,0)</f>
        <v>tfarraac@behance.net</v>
      </c>
      <c r="H422" s="2" t="str">
        <f>_xlfn.XLOOKUP(orders!C422,customers!$A$2:$A$1001,customers!$G$2:$G$1001,0)</f>
        <v>United States</v>
      </c>
      <c r="I422" t="str">
        <f>INDEX(products!$A$1:$G$49,MATCH(orders!$D422,products!$A$1:$A$49,0),MATCH($I$1,products!$A$1:$G$1,0))</f>
        <v>Lib</v>
      </c>
      <c r="J422" t="str">
        <f>INDEX(products!$A$1:$G$49,MATCH(orders!$D422,products!$A$1:$A$49,0),MATCH($J$1,products!$A$1:$G$1,0))</f>
        <v>D</v>
      </c>
      <c r="K422" s="1">
        <f>INDEX(products!$A$1:$G$49,MATCH(orders!$D422,products!$A$1:$A$49,0),MATCH($K$1,products!$A$1:$G$1,0))</f>
        <v>0.5</v>
      </c>
      <c r="L422">
        <f>INDEX(products!$A$1:$G$49,MATCH(orders!$D422,products!$A$1:$A$49,0),MATCH($L$1,products!$A$1:$G$1,0))</f>
        <v>7.77</v>
      </c>
      <c r="M422">
        <f t="shared" si="19"/>
        <v>31.08</v>
      </c>
      <c r="N422" t="str">
        <f t="shared" si="20"/>
        <v>Liberica</v>
      </c>
      <c r="O422" t="str">
        <f t="shared" si="21"/>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_xlfn.XLOOKUP(C423,customers!$A$2:$A$1001,customers!$B$2:$B$1001,0)</f>
        <v>Terri Farra</v>
      </c>
      <c r="G423" s="2" t="str">
        <f>_xlfn.XLOOKUP(C423,customers!$A$2:$A$1001,customers!$C$2:$C$1001,0)</f>
        <v>tfarraac@behance.net</v>
      </c>
      <c r="H423" s="2" t="str">
        <f>_xlfn.XLOOKUP(orders!C423,customers!$A$2:$A$1001,customers!$G$2:$G$1001,0)</f>
        <v>United States</v>
      </c>
      <c r="I423" t="str">
        <f>INDEX(products!$A$1:$G$49,MATCH(orders!$D423,products!$A$1:$A$49,0),MATCH($I$1,products!$A$1:$G$1,0))</f>
        <v>Ara</v>
      </c>
      <c r="J423" t="str">
        <f>INDEX(products!$A$1:$G$49,MATCH(orders!$D423,products!$A$1:$A$49,0),MATCH($J$1,products!$A$1:$G$1,0))</f>
        <v>D</v>
      </c>
      <c r="K423" s="1">
        <f>INDEX(products!$A$1:$G$49,MATCH(orders!$D423,products!$A$1:$A$49,0),MATCH($K$1,products!$A$1:$G$1,0))</f>
        <v>2.5</v>
      </c>
      <c r="L423">
        <f>INDEX(products!$A$1:$G$49,MATCH(orders!$D423,products!$A$1:$A$49,0),MATCH($L$1,products!$A$1:$G$1,0))</f>
        <v>22.884999999999998</v>
      </c>
      <c r="M423">
        <f t="shared" si="19"/>
        <v>137.31</v>
      </c>
      <c r="N423" t="str">
        <f t="shared" si="20"/>
        <v>Arabica</v>
      </c>
      <c r="O423" t="str">
        <f t="shared" si="21"/>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_xlfn.XLOOKUP(C424,customers!$A$2:$A$1001,customers!$B$2:$B$1001,0)</f>
        <v>Nevins Glowacz</v>
      </c>
      <c r="G424" s="2">
        <f>_xlfn.XLOOKUP(C424,customers!$A$2:$A$1001,customers!$C$2:$C$1001,0)</f>
        <v>0</v>
      </c>
      <c r="H424" s="2" t="str">
        <f>_xlfn.XLOOKUP(orders!C424,customers!$A$2:$A$1001,customers!$G$2:$G$1001,0)</f>
        <v>United States</v>
      </c>
      <c r="I424" t="str">
        <f>INDEX(products!$A$1:$G$49,MATCH(orders!$D424,products!$A$1:$A$49,0),MATCH($I$1,products!$A$1:$G$1,0))</f>
        <v>Ara</v>
      </c>
      <c r="J424" t="str">
        <f>INDEX(products!$A$1:$G$49,MATCH(orders!$D424,products!$A$1:$A$49,0),MATCH($J$1,products!$A$1:$G$1,0))</f>
        <v>D</v>
      </c>
      <c r="K424" s="1">
        <f>INDEX(products!$A$1:$G$49,MATCH(orders!$D424,products!$A$1:$A$49,0),MATCH($K$1,products!$A$1:$G$1,0))</f>
        <v>0.5</v>
      </c>
      <c r="L424">
        <f>INDEX(products!$A$1:$G$49,MATCH(orders!$D424,products!$A$1:$A$49,0),MATCH($L$1,products!$A$1:$G$1,0))</f>
        <v>5.97</v>
      </c>
      <c r="M424">
        <f t="shared" si="19"/>
        <v>29.849999999999998</v>
      </c>
      <c r="N424" t="str">
        <f t="shared" si="20"/>
        <v>Arabica</v>
      </c>
      <c r="O424" t="str">
        <f t="shared" si="21"/>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_xlfn.XLOOKUP(C425,customers!$A$2:$A$1001,customers!$B$2:$B$1001,0)</f>
        <v>Adelice Isabell</v>
      </c>
      <c r="G425" s="2">
        <f>_xlfn.XLOOKUP(C425,customers!$A$2:$A$1001,customers!$C$2:$C$1001,0)</f>
        <v>0</v>
      </c>
      <c r="H425" s="2" t="str">
        <f>_xlfn.XLOOKUP(orders!C425,customers!$A$2:$A$1001,customers!$G$2:$G$1001,0)</f>
        <v>United States</v>
      </c>
      <c r="I425" t="str">
        <f>INDEX(products!$A$1:$G$49,MATCH(orders!$D425,products!$A$1:$A$49,0),MATCH($I$1,products!$A$1:$G$1,0))</f>
        <v>Rob</v>
      </c>
      <c r="J425" t="str">
        <f>INDEX(products!$A$1:$G$49,MATCH(orders!$D425,products!$A$1:$A$49,0),MATCH($J$1,products!$A$1:$G$1,0))</f>
        <v>M</v>
      </c>
      <c r="K425" s="1">
        <f>INDEX(products!$A$1:$G$49,MATCH(orders!$D425,products!$A$1:$A$49,0),MATCH($K$1,products!$A$1:$G$1,0))</f>
        <v>0.5</v>
      </c>
      <c r="L425">
        <f>INDEX(products!$A$1:$G$49,MATCH(orders!$D425,products!$A$1:$A$49,0),MATCH($L$1,products!$A$1:$G$1,0))</f>
        <v>5.97</v>
      </c>
      <c r="M425">
        <f t="shared" si="19"/>
        <v>17.91</v>
      </c>
      <c r="N425" t="str">
        <f t="shared" si="20"/>
        <v>Robusta</v>
      </c>
      <c r="O425" t="str">
        <f t="shared" si="21"/>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_xlfn.XLOOKUP(C426,customers!$A$2:$A$1001,customers!$B$2:$B$1001,0)</f>
        <v>Yulma Dombrell</v>
      </c>
      <c r="G426" s="2" t="str">
        <f>_xlfn.XLOOKUP(C426,customers!$A$2:$A$1001,customers!$C$2:$C$1001,0)</f>
        <v>ydombrellbs@dedecms.com</v>
      </c>
      <c r="H426" s="2" t="str">
        <f>_xlfn.XLOOKUP(orders!C426,customers!$A$2:$A$1001,customers!$G$2:$G$1001,0)</f>
        <v>United States</v>
      </c>
      <c r="I426" t="str">
        <f>INDEX(products!$A$1:$G$49,MATCH(orders!$D426,products!$A$1:$A$49,0),MATCH($I$1,products!$A$1:$G$1,0))</f>
        <v>Exc</v>
      </c>
      <c r="J426" t="str">
        <f>INDEX(products!$A$1:$G$49,MATCH(orders!$D426,products!$A$1:$A$49,0),MATCH($J$1,products!$A$1:$G$1,0))</f>
        <v>L</v>
      </c>
      <c r="K426" s="1">
        <f>INDEX(products!$A$1:$G$49,MATCH(orders!$D426,products!$A$1:$A$49,0),MATCH($K$1,products!$A$1:$G$1,0))</f>
        <v>0.5</v>
      </c>
      <c r="L426">
        <f>INDEX(products!$A$1:$G$49,MATCH(orders!$D426,products!$A$1:$A$49,0),MATCH($L$1,products!$A$1:$G$1,0))</f>
        <v>8.91</v>
      </c>
      <c r="M426">
        <f t="shared" si="19"/>
        <v>26.73</v>
      </c>
      <c r="N426" t="str">
        <f t="shared" si="20"/>
        <v>Excelsa</v>
      </c>
      <c r="O426" t="str">
        <f t="shared" si="21"/>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_xlfn.XLOOKUP(C427,customers!$A$2:$A$1001,customers!$B$2:$B$1001,0)</f>
        <v>Alric Darth</v>
      </c>
      <c r="G427" s="2" t="str">
        <f>_xlfn.XLOOKUP(C427,customers!$A$2:$A$1001,customers!$C$2:$C$1001,0)</f>
        <v>adarthbt@t.co</v>
      </c>
      <c r="H427" s="2" t="str">
        <f>_xlfn.XLOOKUP(orders!C427,customers!$A$2:$A$1001,customers!$G$2:$G$1001,0)</f>
        <v>United States</v>
      </c>
      <c r="I427" t="str">
        <f>INDEX(products!$A$1:$G$49,MATCH(orders!$D427,products!$A$1:$A$49,0),MATCH($I$1,products!$A$1:$G$1,0))</f>
        <v>Rob</v>
      </c>
      <c r="J427" t="str">
        <f>INDEX(products!$A$1:$G$49,MATCH(orders!$D427,products!$A$1:$A$49,0),MATCH($J$1,products!$A$1:$G$1,0))</f>
        <v>D</v>
      </c>
      <c r="K427" s="1">
        <f>INDEX(products!$A$1:$G$49,MATCH(orders!$D427,products!$A$1:$A$49,0),MATCH($K$1,products!$A$1:$G$1,0))</f>
        <v>1</v>
      </c>
      <c r="L427">
        <f>INDEX(products!$A$1:$G$49,MATCH(orders!$D427,products!$A$1:$A$49,0),MATCH($L$1,products!$A$1:$G$1,0))</f>
        <v>8.9499999999999993</v>
      </c>
      <c r="M427">
        <f t="shared" si="19"/>
        <v>17.899999999999999</v>
      </c>
      <c r="N427" t="str">
        <f t="shared" si="20"/>
        <v>Robusta</v>
      </c>
      <c r="O427" t="str">
        <f t="shared" si="21"/>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_xlfn.XLOOKUP(C428,customers!$A$2:$A$1001,customers!$B$2:$B$1001,0)</f>
        <v>Manuel Darrigoe</v>
      </c>
      <c r="G428" s="2" t="str">
        <f>_xlfn.XLOOKUP(C428,customers!$A$2:$A$1001,customers!$C$2:$C$1001,0)</f>
        <v>mdarrigoebu@hud.gov</v>
      </c>
      <c r="H428" s="2" t="str">
        <f>_xlfn.XLOOKUP(orders!C428,customers!$A$2:$A$1001,customers!$G$2:$G$1001,0)</f>
        <v>Ireland</v>
      </c>
      <c r="I428" t="str">
        <f>INDEX(products!$A$1:$G$49,MATCH(orders!$D428,products!$A$1:$A$49,0),MATCH($I$1,products!$A$1:$G$1,0))</f>
        <v>Rob</v>
      </c>
      <c r="J428" t="str">
        <f>INDEX(products!$A$1:$G$49,MATCH(orders!$D428,products!$A$1:$A$49,0),MATCH($J$1,products!$A$1:$G$1,0))</f>
        <v>L</v>
      </c>
      <c r="K428" s="1">
        <f>INDEX(products!$A$1:$G$49,MATCH(orders!$D428,products!$A$1:$A$49,0),MATCH($K$1,products!$A$1:$G$1,0))</f>
        <v>0.2</v>
      </c>
      <c r="L428">
        <f>INDEX(products!$A$1:$G$49,MATCH(orders!$D428,products!$A$1:$A$49,0),MATCH($L$1,products!$A$1:$G$1,0))</f>
        <v>3.5849999999999995</v>
      </c>
      <c r="M428">
        <f t="shared" si="19"/>
        <v>14.339999999999998</v>
      </c>
      <c r="N428" t="str">
        <f t="shared" si="20"/>
        <v>Robusta</v>
      </c>
      <c r="O428" t="str">
        <f t="shared" si="21"/>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_xlfn.XLOOKUP(C429,customers!$A$2:$A$1001,customers!$B$2:$B$1001,0)</f>
        <v>Kynthia Berick</v>
      </c>
      <c r="G429" s="2">
        <f>_xlfn.XLOOKUP(C429,customers!$A$2:$A$1001,customers!$C$2:$C$1001,0)</f>
        <v>0</v>
      </c>
      <c r="H429" s="2" t="str">
        <f>_xlfn.XLOOKUP(orders!C429,customers!$A$2:$A$1001,customers!$G$2:$G$1001,0)</f>
        <v>United States</v>
      </c>
      <c r="I429" t="str">
        <f>INDEX(products!$A$1:$G$49,MATCH(orders!$D429,products!$A$1:$A$49,0),MATCH($I$1,products!$A$1:$G$1,0))</f>
        <v>Ara</v>
      </c>
      <c r="J429" t="str">
        <f>INDEX(products!$A$1:$G$49,MATCH(orders!$D429,products!$A$1:$A$49,0),MATCH($J$1,products!$A$1:$G$1,0))</f>
        <v>M</v>
      </c>
      <c r="K429" s="1">
        <f>INDEX(products!$A$1:$G$49,MATCH(orders!$D429,products!$A$1:$A$49,0),MATCH($K$1,products!$A$1:$G$1,0))</f>
        <v>2.5</v>
      </c>
      <c r="L429">
        <f>INDEX(products!$A$1:$G$49,MATCH(orders!$D429,products!$A$1:$A$49,0),MATCH($L$1,products!$A$1:$G$1,0))</f>
        <v>25.874999999999996</v>
      </c>
      <c r="M429">
        <f t="shared" si="19"/>
        <v>77.624999999999986</v>
      </c>
      <c r="N429" t="str">
        <f t="shared" si="20"/>
        <v>Arabica</v>
      </c>
      <c r="O429" t="str">
        <f t="shared" si="21"/>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_xlfn.XLOOKUP(C430,customers!$A$2:$A$1001,customers!$B$2:$B$1001,0)</f>
        <v>Minetta Ackrill</v>
      </c>
      <c r="G430" s="2" t="str">
        <f>_xlfn.XLOOKUP(C430,customers!$A$2:$A$1001,customers!$C$2:$C$1001,0)</f>
        <v>mackrillbw@bandcamp.com</v>
      </c>
      <c r="H430" s="2" t="str">
        <f>_xlfn.XLOOKUP(orders!C430,customers!$A$2:$A$1001,customers!$G$2:$G$1001,0)</f>
        <v>United States</v>
      </c>
      <c r="I430" t="str">
        <f>INDEX(products!$A$1:$G$49,MATCH(orders!$D430,products!$A$1:$A$49,0),MATCH($I$1,products!$A$1:$G$1,0))</f>
        <v>Rob</v>
      </c>
      <c r="J430" t="str">
        <f>INDEX(products!$A$1:$G$49,MATCH(orders!$D430,products!$A$1:$A$49,0),MATCH($J$1,products!$A$1:$G$1,0))</f>
        <v>L</v>
      </c>
      <c r="K430" s="1">
        <f>INDEX(products!$A$1:$G$49,MATCH(orders!$D430,products!$A$1:$A$49,0),MATCH($K$1,products!$A$1:$G$1,0))</f>
        <v>1</v>
      </c>
      <c r="L430">
        <f>INDEX(products!$A$1:$G$49,MATCH(orders!$D430,products!$A$1:$A$49,0),MATCH($L$1,products!$A$1:$G$1,0))</f>
        <v>11.95</v>
      </c>
      <c r="M430">
        <f t="shared" si="19"/>
        <v>59.75</v>
      </c>
      <c r="N430" t="str">
        <f t="shared" si="20"/>
        <v>Robusta</v>
      </c>
      <c r="O430" t="str">
        <f t="shared" si="21"/>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_xlfn.XLOOKUP(C431,customers!$A$2:$A$1001,customers!$B$2:$B$1001,0)</f>
        <v>Terri Farra</v>
      </c>
      <c r="G431" s="2" t="str">
        <f>_xlfn.XLOOKUP(C431,customers!$A$2:$A$1001,customers!$C$2:$C$1001,0)</f>
        <v>tfarraac@behance.net</v>
      </c>
      <c r="H431" s="2" t="str">
        <f>_xlfn.XLOOKUP(orders!C431,customers!$A$2:$A$1001,customers!$G$2:$G$1001,0)</f>
        <v>United States</v>
      </c>
      <c r="I431" t="str">
        <f>INDEX(products!$A$1:$G$49,MATCH(orders!$D431,products!$A$1:$A$49,0),MATCH($I$1,products!$A$1:$G$1,0))</f>
        <v>Ara</v>
      </c>
      <c r="J431" t="str">
        <f>INDEX(products!$A$1:$G$49,MATCH(orders!$D431,products!$A$1:$A$49,0),MATCH($J$1,products!$A$1:$G$1,0))</f>
        <v>L</v>
      </c>
      <c r="K431" s="1">
        <f>INDEX(products!$A$1:$G$49,MATCH(orders!$D431,products!$A$1:$A$49,0),MATCH($K$1,products!$A$1:$G$1,0))</f>
        <v>1</v>
      </c>
      <c r="L431">
        <f>INDEX(products!$A$1:$G$49,MATCH(orders!$D431,products!$A$1:$A$49,0),MATCH($L$1,products!$A$1:$G$1,0))</f>
        <v>12.95</v>
      </c>
      <c r="M431">
        <f t="shared" si="19"/>
        <v>77.699999999999989</v>
      </c>
      <c r="N431" t="str">
        <f t="shared" si="20"/>
        <v>Arabica</v>
      </c>
      <c r="O431" t="str">
        <f t="shared" si="21"/>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_xlfn.XLOOKUP(C432,customers!$A$2:$A$1001,customers!$B$2:$B$1001,0)</f>
        <v>Melosa Kippen</v>
      </c>
      <c r="G432" s="2" t="str">
        <f>_xlfn.XLOOKUP(C432,customers!$A$2:$A$1001,customers!$C$2:$C$1001,0)</f>
        <v>mkippenby@dion.ne.jp</v>
      </c>
      <c r="H432" s="2" t="str">
        <f>_xlfn.XLOOKUP(orders!C432,customers!$A$2:$A$1001,customers!$G$2:$G$1001,0)</f>
        <v>United States</v>
      </c>
      <c r="I432" t="str">
        <f>INDEX(products!$A$1:$G$49,MATCH(orders!$D432,products!$A$1:$A$49,0),MATCH($I$1,products!$A$1:$G$1,0))</f>
        <v>Rob</v>
      </c>
      <c r="J432" t="str">
        <f>INDEX(products!$A$1:$G$49,MATCH(orders!$D432,products!$A$1:$A$49,0),MATCH($J$1,products!$A$1:$G$1,0))</f>
        <v>D</v>
      </c>
      <c r="K432" s="1">
        <f>INDEX(products!$A$1:$G$49,MATCH(orders!$D432,products!$A$1:$A$49,0),MATCH($K$1,products!$A$1:$G$1,0))</f>
        <v>0.2</v>
      </c>
      <c r="L432">
        <f>INDEX(products!$A$1:$G$49,MATCH(orders!$D432,products!$A$1:$A$49,0),MATCH($L$1,products!$A$1:$G$1,0))</f>
        <v>2.6849999999999996</v>
      </c>
      <c r="M432">
        <f t="shared" si="19"/>
        <v>5.3699999999999992</v>
      </c>
      <c r="N432" t="str">
        <f t="shared" si="20"/>
        <v>Robusta</v>
      </c>
      <c r="O432" t="str">
        <f t="shared" si="21"/>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_xlfn.XLOOKUP(C433,customers!$A$2:$A$1001,customers!$B$2:$B$1001,0)</f>
        <v>Witty Ranson</v>
      </c>
      <c r="G433" s="2" t="str">
        <f>_xlfn.XLOOKUP(C433,customers!$A$2:$A$1001,customers!$C$2:$C$1001,0)</f>
        <v>wransonbz@ted.com</v>
      </c>
      <c r="H433" s="2" t="str">
        <f>_xlfn.XLOOKUP(orders!C433,customers!$A$2:$A$1001,customers!$G$2:$G$1001,0)</f>
        <v>Ireland</v>
      </c>
      <c r="I433" t="str">
        <f>INDEX(products!$A$1:$G$49,MATCH(orders!$D433,products!$A$1:$A$49,0),MATCH($I$1,products!$A$1:$G$1,0))</f>
        <v>Exc</v>
      </c>
      <c r="J433" t="str">
        <f>INDEX(products!$A$1:$G$49,MATCH(orders!$D433,products!$A$1:$A$49,0),MATCH($J$1,products!$A$1:$G$1,0))</f>
        <v>D</v>
      </c>
      <c r="K433" s="1">
        <f>INDEX(products!$A$1:$G$49,MATCH(orders!$D433,products!$A$1:$A$49,0),MATCH($K$1,products!$A$1:$G$1,0))</f>
        <v>2.5</v>
      </c>
      <c r="L433">
        <f>INDEX(products!$A$1:$G$49,MATCH(orders!$D433,products!$A$1:$A$49,0),MATCH($L$1,products!$A$1:$G$1,0))</f>
        <v>27.945</v>
      </c>
      <c r="M433">
        <f t="shared" si="19"/>
        <v>83.835000000000008</v>
      </c>
      <c r="N433" t="str">
        <f t="shared" si="20"/>
        <v>Excelsa</v>
      </c>
      <c r="O433" t="str">
        <f t="shared" si="21"/>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_xlfn.XLOOKUP(C434,customers!$A$2:$A$1001,customers!$B$2:$B$1001,0)</f>
        <v>Rod Gowdie</v>
      </c>
      <c r="G434" s="2">
        <f>_xlfn.XLOOKUP(C434,customers!$A$2:$A$1001,customers!$C$2:$C$1001,0)</f>
        <v>0</v>
      </c>
      <c r="H434" s="2" t="str">
        <f>_xlfn.XLOOKUP(orders!C434,customers!$A$2:$A$1001,customers!$G$2:$G$1001,0)</f>
        <v>United States</v>
      </c>
      <c r="I434" t="str">
        <f>INDEX(products!$A$1:$G$49,MATCH(orders!$D434,products!$A$1:$A$49,0),MATCH($I$1,products!$A$1:$G$1,0))</f>
        <v>Ara</v>
      </c>
      <c r="J434" t="str">
        <f>INDEX(products!$A$1:$G$49,MATCH(orders!$D434,products!$A$1:$A$49,0),MATCH($J$1,products!$A$1:$G$1,0))</f>
        <v>M</v>
      </c>
      <c r="K434" s="1">
        <f>INDEX(products!$A$1:$G$49,MATCH(orders!$D434,products!$A$1:$A$49,0),MATCH($K$1,products!$A$1:$G$1,0))</f>
        <v>1</v>
      </c>
      <c r="L434">
        <f>INDEX(products!$A$1:$G$49,MATCH(orders!$D434,products!$A$1:$A$49,0),MATCH($L$1,products!$A$1:$G$1,0))</f>
        <v>11.25</v>
      </c>
      <c r="M434">
        <f t="shared" si="19"/>
        <v>22.5</v>
      </c>
      <c r="N434" t="str">
        <f t="shared" si="20"/>
        <v>Arabica</v>
      </c>
      <c r="O434" t="str">
        <f t="shared" si="21"/>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_xlfn.XLOOKUP(C435,customers!$A$2:$A$1001,customers!$B$2:$B$1001,0)</f>
        <v>Lemuel Rignold</v>
      </c>
      <c r="G435" s="2" t="str">
        <f>_xlfn.XLOOKUP(C435,customers!$A$2:$A$1001,customers!$C$2:$C$1001,0)</f>
        <v>lrignoldc1@miibeian.gov.cn</v>
      </c>
      <c r="H435" s="2" t="str">
        <f>_xlfn.XLOOKUP(orders!C435,customers!$A$2:$A$1001,customers!$G$2:$G$1001,0)</f>
        <v>United States</v>
      </c>
      <c r="I435" t="str">
        <f>INDEX(products!$A$1:$G$49,MATCH(orders!$D435,products!$A$1:$A$49,0),MATCH($I$1,products!$A$1:$G$1,0))</f>
        <v>Lib</v>
      </c>
      <c r="J435" t="str">
        <f>INDEX(products!$A$1:$G$49,MATCH(orders!$D435,products!$A$1:$A$49,0),MATCH($J$1,products!$A$1:$G$1,0))</f>
        <v>M</v>
      </c>
      <c r="K435" s="1">
        <f>INDEX(products!$A$1:$G$49,MATCH(orders!$D435,products!$A$1:$A$49,0),MATCH($K$1,products!$A$1:$G$1,0))</f>
        <v>2.5</v>
      </c>
      <c r="L435">
        <f>INDEX(products!$A$1:$G$49,MATCH(orders!$D435,products!$A$1:$A$49,0),MATCH($L$1,products!$A$1:$G$1,0))</f>
        <v>33.464999999999996</v>
      </c>
      <c r="M435">
        <f t="shared" si="19"/>
        <v>200.78999999999996</v>
      </c>
      <c r="N435" t="str">
        <f t="shared" si="20"/>
        <v>Liberica</v>
      </c>
      <c r="O435" t="str">
        <f t="shared" si="21"/>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_xlfn.XLOOKUP(C436,customers!$A$2:$A$1001,customers!$B$2:$B$1001,0)</f>
        <v>Nevsa Fields</v>
      </c>
      <c r="G436" s="2">
        <f>_xlfn.XLOOKUP(C436,customers!$A$2:$A$1001,customers!$C$2:$C$1001,0)</f>
        <v>0</v>
      </c>
      <c r="H436" s="2" t="str">
        <f>_xlfn.XLOOKUP(orders!C436,customers!$A$2:$A$1001,customers!$G$2:$G$1001,0)</f>
        <v>United States</v>
      </c>
      <c r="I436" t="str">
        <f>INDEX(products!$A$1:$G$49,MATCH(orders!$D436,products!$A$1:$A$49,0),MATCH($I$1,products!$A$1:$G$1,0))</f>
        <v>Ara</v>
      </c>
      <c r="J436" t="str">
        <f>INDEX(products!$A$1:$G$49,MATCH(orders!$D436,products!$A$1:$A$49,0),MATCH($J$1,products!$A$1:$G$1,0))</f>
        <v>M</v>
      </c>
      <c r="K436" s="1">
        <f>INDEX(products!$A$1:$G$49,MATCH(orders!$D436,products!$A$1:$A$49,0),MATCH($K$1,products!$A$1:$G$1,0))</f>
        <v>1</v>
      </c>
      <c r="L436">
        <f>INDEX(products!$A$1:$G$49,MATCH(orders!$D436,products!$A$1:$A$49,0),MATCH($L$1,products!$A$1:$G$1,0))</f>
        <v>11.25</v>
      </c>
      <c r="M436">
        <f t="shared" si="19"/>
        <v>67.5</v>
      </c>
      <c r="N436" t="str">
        <f t="shared" si="20"/>
        <v>Arabica</v>
      </c>
      <c r="O436" t="str">
        <f t="shared" si="21"/>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_xlfn.XLOOKUP(C437,customers!$A$2:$A$1001,customers!$B$2:$B$1001,0)</f>
        <v>Chance Rowthorn</v>
      </c>
      <c r="G437" s="2" t="str">
        <f>_xlfn.XLOOKUP(C437,customers!$A$2:$A$1001,customers!$C$2:$C$1001,0)</f>
        <v>crowthornc3@msn.com</v>
      </c>
      <c r="H437" s="2" t="str">
        <f>_xlfn.XLOOKUP(orders!C437,customers!$A$2:$A$1001,customers!$G$2:$G$1001,0)</f>
        <v>United States</v>
      </c>
      <c r="I437" t="str">
        <f>INDEX(products!$A$1:$G$49,MATCH(orders!$D437,products!$A$1:$A$49,0),MATCH($I$1,products!$A$1:$G$1,0))</f>
        <v>Exc</v>
      </c>
      <c r="J437" t="str">
        <f>INDEX(products!$A$1:$G$49,MATCH(orders!$D437,products!$A$1:$A$49,0),MATCH($J$1,products!$A$1:$G$1,0))</f>
        <v>M</v>
      </c>
      <c r="K437" s="1">
        <f>INDEX(products!$A$1:$G$49,MATCH(orders!$D437,products!$A$1:$A$49,0),MATCH($K$1,products!$A$1:$G$1,0))</f>
        <v>0.5</v>
      </c>
      <c r="L437">
        <f>INDEX(products!$A$1:$G$49,MATCH(orders!$D437,products!$A$1:$A$49,0),MATCH($L$1,products!$A$1:$G$1,0))</f>
        <v>8.25</v>
      </c>
      <c r="M437">
        <f t="shared" si="19"/>
        <v>8.25</v>
      </c>
      <c r="N437" t="str">
        <f t="shared" si="20"/>
        <v>Excelsa</v>
      </c>
      <c r="O437" t="str">
        <f t="shared" si="21"/>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_xlfn.XLOOKUP(C438,customers!$A$2:$A$1001,customers!$B$2:$B$1001,0)</f>
        <v>Orly Ryland</v>
      </c>
      <c r="G438" s="2" t="str">
        <f>_xlfn.XLOOKUP(C438,customers!$A$2:$A$1001,customers!$C$2:$C$1001,0)</f>
        <v>orylandc4@deviantart.com</v>
      </c>
      <c r="H438" s="2" t="str">
        <f>_xlfn.XLOOKUP(orders!C438,customers!$A$2:$A$1001,customers!$G$2:$G$1001,0)</f>
        <v>United States</v>
      </c>
      <c r="I438" t="str">
        <f>INDEX(products!$A$1:$G$49,MATCH(orders!$D438,products!$A$1:$A$49,0),MATCH($I$1,products!$A$1:$G$1,0))</f>
        <v>Lib</v>
      </c>
      <c r="J438" t="str">
        <f>INDEX(products!$A$1:$G$49,MATCH(orders!$D438,products!$A$1:$A$49,0),MATCH($J$1,products!$A$1:$G$1,0))</f>
        <v>L</v>
      </c>
      <c r="K438" s="1">
        <f>INDEX(products!$A$1:$G$49,MATCH(orders!$D438,products!$A$1:$A$49,0),MATCH($K$1,products!$A$1:$G$1,0))</f>
        <v>0.2</v>
      </c>
      <c r="L438">
        <f>INDEX(products!$A$1:$G$49,MATCH(orders!$D438,products!$A$1:$A$49,0),MATCH($L$1,products!$A$1:$G$1,0))</f>
        <v>4.7549999999999999</v>
      </c>
      <c r="M438">
        <f t="shared" si="19"/>
        <v>9.51</v>
      </c>
      <c r="N438" t="str">
        <f t="shared" si="20"/>
        <v>Liberica</v>
      </c>
      <c r="O438" t="str">
        <f t="shared" si="21"/>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_xlfn.XLOOKUP(C439,customers!$A$2:$A$1001,customers!$B$2:$B$1001,0)</f>
        <v>Willabella Abramski</v>
      </c>
      <c r="G439" s="2">
        <f>_xlfn.XLOOKUP(C439,customers!$A$2:$A$1001,customers!$C$2:$C$1001,0)</f>
        <v>0</v>
      </c>
      <c r="H439" s="2" t="str">
        <f>_xlfn.XLOOKUP(orders!C439,customers!$A$2:$A$1001,customers!$G$2:$G$1001,0)</f>
        <v>United States</v>
      </c>
      <c r="I439" t="str">
        <f>INDEX(products!$A$1:$G$49,MATCH(orders!$D439,products!$A$1:$A$49,0),MATCH($I$1,products!$A$1:$G$1,0))</f>
        <v>Lib</v>
      </c>
      <c r="J439" t="str">
        <f>INDEX(products!$A$1:$G$49,MATCH(orders!$D439,products!$A$1:$A$49,0),MATCH($J$1,products!$A$1:$G$1,0))</f>
        <v>D</v>
      </c>
      <c r="K439" s="1">
        <f>INDEX(products!$A$1:$G$49,MATCH(orders!$D439,products!$A$1:$A$49,0),MATCH($K$1,products!$A$1:$G$1,0))</f>
        <v>2.5</v>
      </c>
      <c r="L439">
        <f>INDEX(products!$A$1:$G$49,MATCH(orders!$D439,products!$A$1:$A$49,0),MATCH($L$1,products!$A$1:$G$1,0))</f>
        <v>29.784999999999997</v>
      </c>
      <c r="M439">
        <f t="shared" si="19"/>
        <v>29.784999999999997</v>
      </c>
      <c r="N439" t="str">
        <f t="shared" si="20"/>
        <v>Liberica</v>
      </c>
      <c r="O439" t="str">
        <f t="shared" si="21"/>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_xlfn.XLOOKUP(C440,customers!$A$2:$A$1001,customers!$B$2:$B$1001,0)</f>
        <v>Morgen Seson</v>
      </c>
      <c r="G440" s="2" t="str">
        <f>_xlfn.XLOOKUP(C440,customers!$A$2:$A$1001,customers!$C$2:$C$1001,0)</f>
        <v>msesonck@census.gov</v>
      </c>
      <c r="H440" s="2" t="str">
        <f>_xlfn.XLOOKUP(orders!C440,customers!$A$2:$A$1001,customers!$G$2:$G$1001,0)</f>
        <v>United States</v>
      </c>
      <c r="I440" t="str">
        <f>INDEX(products!$A$1:$G$49,MATCH(orders!$D440,products!$A$1:$A$49,0),MATCH($I$1,products!$A$1:$G$1,0))</f>
        <v>Lib</v>
      </c>
      <c r="J440" t="str">
        <f>INDEX(products!$A$1:$G$49,MATCH(orders!$D440,products!$A$1:$A$49,0),MATCH($J$1,products!$A$1:$G$1,0))</f>
        <v>D</v>
      </c>
      <c r="K440" s="1">
        <f>INDEX(products!$A$1:$G$49,MATCH(orders!$D440,products!$A$1:$A$49,0),MATCH($K$1,products!$A$1:$G$1,0))</f>
        <v>0.5</v>
      </c>
      <c r="L440">
        <f>INDEX(products!$A$1:$G$49,MATCH(orders!$D440,products!$A$1:$A$49,0),MATCH($L$1,products!$A$1:$G$1,0))</f>
        <v>7.77</v>
      </c>
      <c r="M440">
        <f t="shared" si="19"/>
        <v>15.54</v>
      </c>
      <c r="N440" t="str">
        <f t="shared" si="20"/>
        <v>Liberica</v>
      </c>
      <c r="O440" t="str">
        <f t="shared" si="21"/>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_xlfn.XLOOKUP(C441,customers!$A$2:$A$1001,customers!$B$2:$B$1001,0)</f>
        <v>Chickie Ragless</v>
      </c>
      <c r="G441" s="2" t="str">
        <f>_xlfn.XLOOKUP(C441,customers!$A$2:$A$1001,customers!$C$2:$C$1001,0)</f>
        <v>craglessc7@webmd.com</v>
      </c>
      <c r="H441" s="2" t="str">
        <f>_xlfn.XLOOKUP(orders!C441,customers!$A$2:$A$1001,customers!$G$2:$G$1001,0)</f>
        <v>Ireland</v>
      </c>
      <c r="I441" t="str">
        <f>INDEX(products!$A$1:$G$49,MATCH(orders!$D441,products!$A$1:$A$49,0),MATCH($I$1,products!$A$1:$G$1,0))</f>
        <v>Exc</v>
      </c>
      <c r="J441" t="str">
        <f>INDEX(products!$A$1:$G$49,MATCH(orders!$D441,products!$A$1:$A$49,0),MATCH($J$1,products!$A$1:$G$1,0))</f>
        <v>L</v>
      </c>
      <c r="K441" s="1">
        <f>INDEX(products!$A$1:$G$49,MATCH(orders!$D441,products!$A$1:$A$49,0),MATCH($K$1,products!$A$1:$G$1,0))</f>
        <v>0.5</v>
      </c>
      <c r="L441">
        <f>INDEX(products!$A$1:$G$49,MATCH(orders!$D441,products!$A$1:$A$49,0),MATCH($L$1,products!$A$1:$G$1,0))</f>
        <v>8.91</v>
      </c>
      <c r="M441">
        <f t="shared" si="19"/>
        <v>35.64</v>
      </c>
      <c r="N441" t="str">
        <f t="shared" si="20"/>
        <v>Excelsa</v>
      </c>
      <c r="O441" t="str">
        <f t="shared" si="21"/>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_xlfn.XLOOKUP(C442,customers!$A$2:$A$1001,customers!$B$2:$B$1001,0)</f>
        <v>Freda Hollows</v>
      </c>
      <c r="G442" s="2" t="str">
        <f>_xlfn.XLOOKUP(C442,customers!$A$2:$A$1001,customers!$C$2:$C$1001,0)</f>
        <v>fhollowsc8@blogtalkradio.com</v>
      </c>
      <c r="H442" s="2" t="str">
        <f>_xlfn.XLOOKUP(orders!C442,customers!$A$2:$A$1001,customers!$G$2:$G$1001,0)</f>
        <v>United States</v>
      </c>
      <c r="I442" t="str">
        <f>INDEX(products!$A$1:$G$49,MATCH(orders!$D442,products!$A$1:$A$49,0),MATCH($I$1,products!$A$1:$G$1,0))</f>
        <v>Ara</v>
      </c>
      <c r="J442" t="str">
        <f>INDEX(products!$A$1:$G$49,MATCH(orders!$D442,products!$A$1:$A$49,0),MATCH($J$1,products!$A$1:$G$1,0))</f>
        <v>M</v>
      </c>
      <c r="K442" s="1">
        <f>INDEX(products!$A$1:$G$49,MATCH(orders!$D442,products!$A$1:$A$49,0),MATCH($K$1,products!$A$1:$G$1,0))</f>
        <v>2.5</v>
      </c>
      <c r="L442">
        <f>INDEX(products!$A$1:$G$49,MATCH(orders!$D442,products!$A$1:$A$49,0),MATCH($L$1,products!$A$1:$G$1,0))</f>
        <v>25.874999999999996</v>
      </c>
      <c r="M442">
        <f t="shared" si="19"/>
        <v>103.49999999999999</v>
      </c>
      <c r="N442" t="str">
        <f t="shared" si="20"/>
        <v>Arabica</v>
      </c>
      <c r="O442" t="str">
        <f t="shared" si="21"/>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_xlfn.XLOOKUP(C443,customers!$A$2:$A$1001,customers!$B$2:$B$1001,0)</f>
        <v>Livy Lathleiff</v>
      </c>
      <c r="G443" s="2" t="str">
        <f>_xlfn.XLOOKUP(C443,customers!$A$2:$A$1001,customers!$C$2:$C$1001,0)</f>
        <v>llathleiffc9@nationalgeographic.com</v>
      </c>
      <c r="H443" s="2" t="str">
        <f>_xlfn.XLOOKUP(orders!C443,customers!$A$2:$A$1001,customers!$G$2:$G$1001,0)</f>
        <v>Ireland</v>
      </c>
      <c r="I443" t="str">
        <f>INDEX(products!$A$1:$G$49,MATCH(orders!$D443,products!$A$1:$A$49,0),MATCH($I$1,products!$A$1:$G$1,0))</f>
        <v>Exc</v>
      </c>
      <c r="J443" t="str">
        <f>INDEX(products!$A$1:$G$49,MATCH(orders!$D443,products!$A$1:$A$49,0),MATCH($J$1,products!$A$1:$G$1,0))</f>
        <v>D</v>
      </c>
      <c r="K443" s="1">
        <f>INDEX(products!$A$1:$G$49,MATCH(orders!$D443,products!$A$1:$A$49,0),MATCH($K$1,products!$A$1:$G$1,0))</f>
        <v>1</v>
      </c>
      <c r="L443">
        <f>INDEX(products!$A$1:$G$49,MATCH(orders!$D443,products!$A$1:$A$49,0),MATCH($L$1,products!$A$1:$G$1,0))</f>
        <v>12.15</v>
      </c>
      <c r="M443">
        <f t="shared" si="19"/>
        <v>36.450000000000003</v>
      </c>
      <c r="N443" t="str">
        <f t="shared" si="20"/>
        <v>Excelsa</v>
      </c>
      <c r="O443" t="str">
        <f t="shared" si="21"/>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_xlfn.XLOOKUP(C444,customers!$A$2:$A$1001,customers!$B$2:$B$1001,0)</f>
        <v>Koralle Heads</v>
      </c>
      <c r="G444" s="2" t="str">
        <f>_xlfn.XLOOKUP(C444,customers!$A$2:$A$1001,customers!$C$2:$C$1001,0)</f>
        <v>kheadsca@jalbum.net</v>
      </c>
      <c r="H444" s="2" t="str">
        <f>_xlfn.XLOOKUP(orders!C444,customers!$A$2:$A$1001,customers!$G$2:$G$1001,0)</f>
        <v>United States</v>
      </c>
      <c r="I444" t="str">
        <f>INDEX(products!$A$1:$G$49,MATCH(orders!$D444,products!$A$1:$A$49,0),MATCH($I$1,products!$A$1:$G$1,0))</f>
        <v>Rob</v>
      </c>
      <c r="J444" t="str">
        <f>INDEX(products!$A$1:$G$49,MATCH(orders!$D444,products!$A$1:$A$49,0),MATCH($J$1,products!$A$1:$G$1,0))</f>
        <v>L</v>
      </c>
      <c r="K444" s="1">
        <f>INDEX(products!$A$1:$G$49,MATCH(orders!$D444,products!$A$1:$A$49,0),MATCH($K$1,products!$A$1:$G$1,0))</f>
        <v>0.5</v>
      </c>
      <c r="L444">
        <f>INDEX(products!$A$1:$G$49,MATCH(orders!$D444,products!$A$1:$A$49,0),MATCH($L$1,products!$A$1:$G$1,0))</f>
        <v>7.169999999999999</v>
      </c>
      <c r="M444">
        <f t="shared" si="19"/>
        <v>35.849999999999994</v>
      </c>
      <c r="N444" t="str">
        <f t="shared" si="20"/>
        <v>Robusta</v>
      </c>
      <c r="O444" t="str">
        <f t="shared" si="21"/>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_xlfn.XLOOKUP(C445,customers!$A$2:$A$1001,customers!$B$2:$B$1001,0)</f>
        <v>Theo Bowne</v>
      </c>
      <c r="G445" s="2" t="str">
        <f>_xlfn.XLOOKUP(C445,customers!$A$2:$A$1001,customers!$C$2:$C$1001,0)</f>
        <v>tbownecb@unicef.org</v>
      </c>
      <c r="H445" s="2" t="str">
        <f>_xlfn.XLOOKUP(orders!C445,customers!$A$2:$A$1001,customers!$G$2:$G$1001,0)</f>
        <v>Ireland</v>
      </c>
      <c r="I445" t="str">
        <f>INDEX(products!$A$1:$G$49,MATCH(orders!$D445,products!$A$1:$A$49,0),MATCH($I$1,products!$A$1:$G$1,0))</f>
        <v>Exc</v>
      </c>
      <c r="J445" t="str">
        <f>INDEX(products!$A$1:$G$49,MATCH(orders!$D445,products!$A$1:$A$49,0),MATCH($J$1,products!$A$1:$G$1,0))</f>
        <v>L</v>
      </c>
      <c r="K445" s="1">
        <f>INDEX(products!$A$1:$G$49,MATCH(orders!$D445,products!$A$1:$A$49,0),MATCH($K$1,products!$A$1:$G$1,0))</f>
        <v>0.2</v>
      </c>
      <c r="L445">
        <f>INDEX(products!$A$1:$G$49,MATCH(orders!$D445,products!$A$1:$A$49,0),MATCH($L$1,products!$A$1:$G$1,0))</f>
        <v>4.4550000000000001</v>
      </c>
      <c r="M445">
        <f t="shared" si="19"/>
        <v>22.274999999999999</v>
      </c>
      <c r="N445" t="str">
        <f t="shared" si="20"/>
        <v>Excelsa</v>
      </c>
      <c r="O445" t="str">
        <f t="shared" si="21"/>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_xlfn.XLOOKUP(C446,customers!$A$2:$A$1001,customers!$B$2:$B$1001,0)</f>
        <v>Rasia Jacquemard</v>
      </c>
      <c r="G446" s="2" t="str">
        <f>_xlfn.XLOOKUP(C446,customers!$A$2:$A$1001,customers!$C$2:$C$1001,0)</f>
        <v>rjacquemardcc@acquirethisname.com</v>
      </c>
      <c r="H446" s="2" t="str">
        <f>_xlfn.XLOOKUP(orders!C446,customers!$A$2:$A$1001,customers!$G$2:$G$1001,0)</f>
        <v>Ireland</v>
      </c>
      <c r="I446" t="str">
        <f>INDEX(products!$A$1:$G$49,MATCH(orders!$D446,products!$A$1:$A$49,0),MATCH($I$1,products!$A$1:$G$1,0))</f>
        <v>Exc</v>
      </c>
      <c r="J446" t="str">
        <f>INDEX(products!$A$1:$G$49,MATCH(orders!$D446,products!$A$1:$A$49,0),MATCH($J$1,products!$A$1:$G$1,0))</f>
        <v>M</v>
      </c>
      <c r="K446" s="1">
        <f>INDEX(products!$A$1:$G$49,MATCH(orders!$D446,products!$A$1:$A$49,0),MATCH($K$1,products!$A$1:$G$1,0))</f>
        <v>0.2</v>
      </c>
      <c r="L446">
        <f>INDEX(products!$A$1:$G$49,MATCH(orders!$D446,products!$A$1:$A$49,0),MATCH($L$1,products!$A$1:$G$1,0))</f>
        <v>4.125</v>
      </c>
      <c r="M446">
        <f t="shared" si="19"/>
        <v>24.75</v>
      </c>
      <c r="N446" t="str">
        <f t="shared" si="20"/>
        <v>Excelsa</v>
      </c>
      <c r="O446" t="str">
        <f t="shared" si="21"/>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_xlfn.XLOOKUP(C447,customers!$A$2:$A$1001,customers!$B$2:$B$1001,0)</f>
        <v>Kizzie Warman</v>
      </c>
      <c r="G447" s="2" t="str">
        <f>_xlfn.XLOOKUP(C447,customers!$A$2:$A$1001,customers!$C$2:$C$1001,0)</f>
        <v>kwarmancd@printfriendly.com</v>
      </c>
      <c r="H447" s="2" t="str">
        <f>_xlfn.XLOOKUP(orders!C447,customers!$A$2:$A$1001,customers!$G$2:$G$1001,0)</f>
        <v>Ireland</v>
      </c>
      <c r="I447" t="str">
        <f>INDEX(products!$A$1:$G$49,MATCH(orders!$D447,products!$A$1:$A$49,0),MATCH($I$1,products!$A$1:$G$1,0))</f>
        <v>Lib</v>
      </c>
      <c r="J447" t="str">
        <f>INDEX(products!$A$1:$G$49,MATCH(orders!$D447,products!$A$1:$A$49,0),MATCH($J$1,products!$A$1:$G$1,0))</f>
        <v>M</v>
      </c>
      <c r="K447" s="1">
        <f>INDEX(products!$A$1:$G$49,MATCH(orders!$D447,products!$A$1:$A$49,0),MATCH($K$1,products!$A$1:$G$1,0))</f>
        <v>2.5</v>
      </c>
      <c r="L447">
        <f>INDEX(products!$A$1:$G$49,MATCH(orders!$D447,products!$A$1:$A$49,0),MATCH($L$1,products!$A$1:$G$1,0))</f>
        <v>33.464999999999996</v>
      </c>
      <c r="M447">
        <f t="shared" si="19"/>
        <v>66.929999999999993</v>
      </c>
      <c r="N447" t="str">
        <f t="shared" si="20"/>
        <v>Liberica</v>
      </c>
      <c r="O447" t="str">
        <f t="shared" si="21"/>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_xlfn.XLOOKUP(C448,customers!$A$2:$A$1001,customers!$B$2:$B$1001,0)</f>
        <v>Wain Cholomin</v>
      </c>
      <c r="G448" s="2" t="str">
        <f>_xlfn.XLOOKUP(C448,customers!$A$2:$A$1001,customers!$C$2:$C$1001,0)</f>
        <v>wcholomince@about.com</v>
      </c>
      <c r="H448" s="2" t="str">
        <f>_xlfn.XLOOKUP(orders!C448,customers!$A$2:$A$1001,customers!$G$2:$G$1001,0)</f>
        <v>United Kingdom</v>
      </c>
      <c r="I448" t="str">
        <f>INDEX(products!$A$1:$G$49,MATCH(orders!$D448,products!$A$1:$A$49,0),MATCH($I$1,products!$A$1:$G$1,0))</f>
        <v>Lib</v>
      </c>
      <c r="J448" t="str">
        <f>INDEX(products!$A$1:$G$49,MATCH(orders!$D448,products!$A$1:$A$49,0),MATCH($J$1,products!$A$1:$G$1,0))</f>
        <v>M</v>
      </c>
      <c r="K448" s="1">
        <f>INDEX(products!$A$1:$G$49,MATCH(orders!$D448,products!$A$1:$A$49,0),MATCH($K$1,products!$A$1:$G$1,0))</f>
        <v>0.5</v>
      </c>
      <c r="L448">
        <f>INDEX(products!$A$1:$G$49,MATCH(orders!$D448,products!$A$1:$A$49,0),MATCH($L$1,products!$A$1:$G$1,0))</f>
        <v>8.73</v>
      </c>
      <c r="M448">
        <f t="shared" si="19"/>
        <v>8.73</v>
      </c>
      <c r="N448" t="str">
        <f t="shared" si="20"/>
        <v>Liberica</v>
      </c>
      <c r="O448" t="str">
        <f t="shared" si="21"/>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_xlfn.XLOOKUP(C449,customers!$A$2:$A$1001,customers!$B$2:$B$1001,0)</f>
        <v>Arleen Braidman</v>
      </c>
      <c r="G449" s="2" t="str">
        <f>_xlfn.XLOOKUP(C449,customers!$A$2:$A$1001,customers!$C$2:$C$1001,0)</f>
        <v>abraidmancf@census.gov</v>
      </c>
      <c r="H449" s="2" t="str">
        <f>_xlfn.XLOOKUP(orders!C449,customers!$A$2:$A$1001,customers!$G$2:$G$1001,0)</f>
        <v>United States</v>
      </c>
      <c r="I449" t="str">
        <f>INDEX(products!$A$1:$G$49,MATCH(orders!$D449,products!$A$1:$A$49,0),MATCH($I$1,products!$A$1:$G$1,0))</f>
        <v>Rob</v>
      </c>
      <c r="J449" t="str">
        <f>INDEX(products!$A$1:$G$49,MATCH(orders!$D449,products!$A$1:$A$49,0),MATCH($J$1,products!$A$1:$G$1,0))</f>
        <v>M</v>
      </c>
      <c r="K449" s="1">
        <f>INDEX(products!$A$1:$G$49,MATCH(orders!$D449,products!$A$1:$A$49,0),MATCH($K$1,products!$A$1:$G$1,0))</f>
        <v>0.5</v>
      </c>
      <c r="L449">
        <f>INDEX(products!$A$1:$G$49,MATCH(orders!$D449,products!$A$1:$A$49,0),MATCH($L$1,products!$A$1:$G$1,0))</f>
        <v>5.97</v>
      </c>
      <c r="M449">
        <f t="shared" si="19"/>
        <v>17.91</v>
      </c>
      <c r="N449" t="str">
        <f t="shared" si="20"/>
        <v>Robusta</v>
      </c>
      <c r="O449" t="str">
        <f t="shared" si="21"/>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_xlfn.XLOOKUP(C450,customers!$A$2:$A$1001,customers!$B$2:$B$1001,0)</f>
        <v>Pru Durban</v>
      </c>
      <c r="G450" s="2" t="str">
        <f>_xlfn.XLOOKUP(C450,customers!$A$2:$A$1001,customers!$C$2:$C$1001,0)</f>
        <v>pdurbancg@symantec.com</v>
      </c>
      <c r="H450" s="2" t="str">
        <f>_xlfn.XLOOKUP(orders!C450,customers!$A$2:$A$1001,customers!$G$2:$G$1001,0)</f>
        <v>Ireland</v>
      </c>
      <c r="I450" t="str">
        <f>INDEX(products!$A$1:$G$49,MATCH(orders!$D450,products!$A$1:$A$49,0),MATCH($I$1,products!$A$1:$G$1,0))</f>
        <v>Rob</v>
      </c>
      <c r="J450" t="str">
        <f>INDEX(products!$A$1:$G$49,MATCH(orders!$D450,products!$A$1:$A$49,0),MATCH($J$1,products!$A$1:$G$1,0))</f>
        <v>L</v>
      </c>
      <c r="K450" s="1">
        <f>INDEX(products!$A$1:$G$49,MATCH(orders!$D450,products!$A$1:$A$49,0),MATCH($K$1,products!$A$1:$G$1,0))</f>
        <v>0.5</v>
      </c>
      <c r="L450">
        <f>INDEX(products!$A$1:$G$49,MATCH(orders!$D450,products!$A$1:$A$49,0),MATCH($L$1,products!$A$1:$G$1,0))</f>
        <v>7.169999999999999</v>
      </c>
      <c r="M450">
        <f t="shared" si="19"/>
        <v>7.169999999999999</v>
      </c>
      <c r="N450" t="str">
        <f t="shared" si="20"/>
        <v>Robusta</v>
      </c>
      <c r="O450" t="str">
        <f t="shared" si="21"/>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_xlfn.XLOOKUP(C451,customers!$A$2:$A$1001,customers!$B$2:$B$1001,0)</f>
        <v>Antone Harrold</v>
      </c>
      <c r="G451" s="2" t="str">
        <f>_xlfn.XLOOKUP(C451,customers!$A$2:$A$1001,customers!$C$2:$C$1001,0)</f>
        <v>aharroldch@miibeian.gov.cn</v>
      </c>
      <c r="H451" s="2" t="str">
        <f>_xlfn.XLOOKUP(orders!C451,customers!$A$2:$A$1001,customers!$G$2:$G$1001,0)</f>
        <v>United States</v>
      </c>
      <c r="I451" t="str">
        <f>INDEX(products!$A$1:$G$49,MATCH(orders!$D451,products!$A$1:$A$49,0),MATCH($I$1,products!$A$1:$G$1,0))</f>
        <v>Rob</v>
      </c>
      <c r="J451" t="str">
        <f>INDEX(products!$A$1:$G$49,MATCH(orders!$D451,products!$A$1:$A$49,0),MATCH($J$1,products!$A$1:$G$1,0))</f>
        <v>D</v>
      </c>
      <c r="K451" s="1">
        <f>INDEX(products!$A$1:$G$49,MATCH(orders!$D451,products!$A$1:$A$49,0),MATCH($K$1,products!$A$1:$G$1,0))</f>
        <v>0.2</v>
      </c>
      <c r="L451">
        <f>INDEX(products!$A$1:$G$49,MATCH(orders!$D451,products!$A$1:$A$49,0),MATCH($L$1,products!$A$1:$G$1,0))</f>
        <v>2.6849999999999996</v>
      </c>
      <c r="M451">
        <f t="shared" ref="M451:M514" si="22">L451*E451</f>
        <v>5.3699999999999992</v>
      </c>
      <c r="N451" t="str">
        <f t="shared" ref="N451:N514" si="23">IF(I451="Rob","Robusta",IF(I451="Exc","Excelsa",IF(I451="Ara","Arabica",IF(I451="Lib","Liberica",""))))</f>
        <v>Robusta</v>
      </c>
      <c r="O451" t="str">
        <f t="shared" ref="O451:O514" si="24">IF(J451="M", "Medium", IF(J451="L","Light", IF(J451="D", "Dark","")))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_xlfn.XLOOKUP(C452,customers!$A$2:$A$1001,customers!$B$2:$B$1001,0)</f>
        <v>Sim Pamphilon</v>
      </c>
      <c r="G452" s="2" t="str">
        <f>_xlfn.XLOOKUP(C452,customers!$A$2:$A$1001,customers!$C$2:$C$1001,0)</f>
        <v>spamphilonci@mlb.com</v>
      </c>
      <c r="H452" s="2" t="str">
        <f>_xlfn.XLOOKUP(orders!C452,customers!$A$2:$A$1001,customers!$G$2:$G$1001,0)</f>
        <v>Ireland</v>
      </c>
      <c r="I452" t="str">
        <f>INDEX(products!$A$1:$G$49,MATCH(orders!$D452,products!$A$1:$A$49,0),MATCH($I$1,products!$A$1:$G$1,0))</f>
        <v>Lib</v>
      </c>
      <c r="J452" t="str">
        <f>INDEX(products!$A$1:$G$49,MATCH(orders!$D452,products!$A$1:$A$49,0),MATCH($J$1,products!$A$1:$G$1,0))</f>
        <v>L</v>
      </c>
      <c r="K452" s="1">
        <f>INDEX(products!$A$1:$G$49,MATCH(orders!$D452,products!$A$1:$A$49,0),MATCH($K$1,products!$A$1:$G$1,0))</f>
        <v>0.2</v>
      </c>
      <c r="L452">
        <f>INDEX(products!$A$1:$G$49,MATCH(orders!$D452,products!$A$1:$A$49,0),MATCH($L$1,products!$A$1:$G$1,0))</f>
        <v>4.7549999999999999</v>
      </c>
      <c r="M452">
        <f t="shared" si="22"/>
        <v>23.774999999999999</v>
      </c>
      <c r="N452" t="str">
        <f t="shared" si="23"/>
        <v>Liberica</v>
      </c>
      <c r="O452" t="str">
        <f t="shared" si="24"/>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_xlfn.XLOOKUP(C453,customers!$A$2:$A$1001,customers!$B$2:$B$1001,0)</f>
        <v>Mohandis Spurden</v>
      </c>
      <c r="G453" s="2" t="str">
        <f>_xlfn.XLOOKUP(C453,customers!$A$2:$A$1001,customers!$C$2:$C$1001,0)</f>
        <v>mspurdencj@exblog.jp</v>
      </c>
      <c r="H453" s="2" t="str">
        <f>_xlfn.XLOOKUP(orders!C453,customers!$A$2:$A$1001,customers!$G$2:$G$1001,0)</f>
        <v>United States</v>
      </c>
      <c r="I453" t="str">
        <f>INDEX(products!$A$1:$G$49,MATCH(orders!$D453,products!$A$1:$A$49,0),MATCH($I$1,products!$A$1:$G$1,0))</f>
        <v>Rob</v>
      </c>
      <c r="J453" t="str">
        <f>INDEX(products!$A$1:$G$49,MATCH(orders!$D453,products!$A$1:$A$49,0),MATCH($J$1,products!$A$1:$G$1,0))</f>
        <v>D</v>
      </c>
      <c r="K453" s="1">
        <f>INDEX(products!$A$1:$G$49,MATCH(orders!$D453,products!$A$1:$A$49,0),MATCH($K$1,products!$A$1:$G$1,0))</f>
        <v>2.5</v>
      </c>
      <c r="L453">
        <f>INDEX(products!$A$1:$G$49,MATCH(orders!$D453,products!$A$1:$A$49,0),MATCH($L$1,products!$A$1:$G$1,0))</f>
        <v>20.584999999999997</v>
      </c>
      <c r="M453">
        <f t="shared" si="22"/>
        <v>41.169999999999995</v>
      </c>
      <c r="N453" t="str">
        <f t="shared" si="23"/>
        <v>Robusta</v>
      </c>
      <c r="O453" t="str">
        <f t="shared" si="24"/>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_xlfn.XLOOKUP(C454,customers!$A$2:$A$1001,customers!$B$2:$B$1001,0)</f>
        <v>Morgen Seson</v>
      </c>
      <c r="G454" s="2" t="str">
        <f>_xlfn.XLOOKUP(C454,customers!$A$2:$A$1001,customers!$C$2:$C$1001,0)</f>
        <v>msesonck@census.gov</v>
      </c>
      <c r="H454" s="2" t="str">
        <f>_xlfn.XLOOKUP(orders!C454,customers!$A$2:$A$1001,customers!$G$2:$G$1001,0)</f>
        <v>United States</v>
      </c>
      <c r="I454" t="str">
        <f>INDEX(products!$A$1:$G$49,MATCH(orders!$D454,products!$A$1:$A$49,0),MATCH($I$1,products!$A$1:$G$1,0))</f>
        <v>Ara</v>
      </c>
      <c r="J454" t="str">
        <f>INDEX(products!$A$1:$G$49,MATCH(orders!$D454,products!$A$1:$A$49,0),MATCH($J$1,products!$A$1:$G$1,0))</f>
        <v>L</v>
      </c>
      <c r="K454" s="1">
        <f>INDEX(products!$A$1:$G$49,MATCH(orders!$D454,products!$A$1:$A$49,0),MATCH($K$1,products!$A$1:$G$1,0))</f>
        <v>0.2</v>
      </c>
      <c r="L454">
        <f>INDEX(products!$A$1:$G$49,MATCH(orders!$D454,products!$A$1:$A$49,0),MATCH($L$1,products!$A$1:$G$1,0))</f>
        <v>3.8849999999999998</v>
      </c>
      <c r="M454">
        <f t="shared" si="22"/>
        <v>11.654999999999999</v>
      </c>
      <c r="N454" t="str">
        <f t="shared" si="23"/>
        <v>Arabica</v>
      </c>
      <c r="O454" t="str">
        <f t="shared" si="24"/>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_xlfn.XLOOKUP(C455,customers!$A$2:$A$1001,customers!$B$2:$B$1001,0)</f>
        <v>Nalani Pirrone</v>
      </c>
      <c r="G455" s="2" t="str">
        <f>_xlfn.XLOOKUP(C455,customers!$A$2:$A$1001,customers!$C$2:$C$1001,0)</f>
        <v>npirronecl@weibo.com</v>
      </c>
      <c r="H455" s="2" t="str">
        <f>_xlfn.XLOOKUP(orders!C455,customers!$A$2:$A$1001,customers!$G$2:$G$1001,0)</f>
        <v>United States</v>
      </c>
      <c r="I455" t="str">
        <f>INDEX(products!$A$1:$G$49,MATCH(orders!$D455,products!$A$1:$A$49,0),MATCH($I$1,products!$A$1:$G$1,0))</f>
        <v>Lib</v>
      </c>
      <c r="J455" t="str">
        <f>INDEX(products!$A$1:$G$49,MATCH(orders!$D455,products!$A$1:$A$49,0),MATCH($J$1,products!$A$1:$G$1,0))</f>
        <v>L</v>
      </c>
      <c r="K455" s="1">
        <f>INDEX(products!$A$1:$G$49,MATCH(orders!$D455,products!$A$1:$A$49,0),MATCH($K$1,products!$A$1:$G$1,0))</f>
        <v>0.5</v>
      </c>
      <c r="L455">
        <f>INDEX(products!$A$1:$G$49,MATCH(orders!$D455,products!$A$1:$A$49,0),MATCH($L$1,products!$A$1:$G$1,0))</f>
        <v>9.51</v>
      </c>
      <c r="M455">
        <f t="shared" si="22"/>
        <v>38.04</v>
      </c>
      <c r="N455" t="str">
        <f t="shared" si="23"/>
        <v>Liberica</v>
      </c>
      <c r="O455" t="str">
        <f t="shared" si="24"/>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_xlfn.XLOOKUP(C456,customers!$A$2:$A$1001,customers!$B$2:$B$1001,0)</f>
        <v>Reube Cawley</v>
      </c>
      <c r="G456" s="2" t="str">
        <f>_xlfn.XLOOKUP(C456,customers!$A$2:$A$1001,customers!$C$2:$C$1001,0)</f>
        <v>rcawleycm@yellowbook.com</v>
      </c>
      <c r="H456" s="2" t="str">
        <f>_xlfn.XLOOKUP(orders!C456,customers!$A$2:$A$1001,customers!$G$2:$G$1001,0)</f>
        <v>Ireland</v>
      </c>
      <c r="I456" t="str">
        <f>INDEX(products!$A$1:$G$49,MATCH(orders!$D456,products!$A$1:$A$49,0),MATCH($I$1,products!$A$1:$G$1,0))</f>
        <v>Rob</v>
      </c>
      <c r="J456" t="str">
        <f>INDEX(products!$A$1:$G$49,MATCH(orders!$D456,products!$A$1:$A$49,0),MATCH($J$1,products!$A$1:$G$1,0))</f>
        <v>D</v>
      </c>
      <c r="K456" s="1">
        <f>INDEX(products!$A$1:$G$49,MATCH(orders!$D456,products!$A$1:$A$49,0),MATCH($K$1,products!$A$1:$G$1,0))</f>
        <v>2.5</v>
      </c>
      <c r="L456">
        <f>INDEX(products!$A$1:$G$49,MATCH(orders!$D456,products!$A$1:$A$49,0),MATCH($L$1,products!$A$1:$G$1,0))</f>
        <v>20.584999999999997</v>
      </c>
      <c r="M456">
        <f t="shared" si="22"/>
        <v>82.339999999999989</v>
      </c>
      <c r="N456" t="str">
        <f t="shared" si="23"/>
        <v>Robusta</v>
      </c>
      <c r="O456" t="str">
        <f t="shared" si="24"/>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_xlfn.XLOOKUP(C457,customers!$A$2:$A$1001,customers!$B$2:$B$1001,0)</f>
        <v>Stan Barribal</v>
      </c>
      <c r="G457" s="2" t="str">
        <f>_xlfn.XLOOKUP(C457,customers!$A$2:$A$1001,customers!$C$2:$C$1001,0)</f>
        <v>sbarribalcn@microsoft.com</v>
      </c>
      <c r="H457" s="2" t="str">
        <f>_xlfn.XLOOKUP(orders!C457,customers!$A$2:$A$1001,customers!$G$2:$G$1001,0)</f>
        <v>Ireland</v>
      </c>
      <c r="I457" t="str">
        <f>INDEX(products!$A$1:$G$49,MATCH(orders!$D457,products!$A$1:$A$49,0),MATCH($I$1,products!$A$1:$G$1,0))</f>
        <v>Lib</v>
      </c>
      <c r="J457" t="str">
        <f>INDEX(products!$A$1:$G$49,MATCH(orders!$D457,products!$A$1:$A$49,0),MATCH($J$1,products!$A$1:$G$1,0))</f>
        <v>L</v>
      </c>
      <c r="K457" s="1">
        <f>INDEX(products!$A$1:$G$49,MATCH(orders!$D457,products!$A$1:$A$49,0),MATCH($K$1,products!$A$1:$G$1,0))</f>
        <v>0.2</v>
      </c>
      <c r="L457">
        <f>INDEX(products!$A$1:$G$49,MATCH(orders!$D457,products!$A$1:$A$49,0),MATCH($L$1,products!$A$1:$G$1,0))</f>
        <v>4.7549999999999999</v>
      </c>
      <c r="M457">
        <f t="shared" si="22"/>
        <v>9.51</v>
      </c>
      <c r="N457" t="str">
        <f t="shared" si="23"/>
        <v>Liberica</v>
      </c>
      <c r="O457" t="str">
        <f t="shared" si="24"/>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_xlfn.XLOOKUP(C458,customers!$A$2:$A$1001,customers!$B$2:$B$1001,0)</f>
        <v>Agnes Adamides</v>
      </c>
      <c r="G458" s="2" t="str">
        <f>_xlfn.XLOOKUP(C458,customers!$A$2:$A$1001,customers!$C$2:$C$1001,0)</f>
        <v>aadamidesco@bizjournals.com</v>
      </c>
      <c r="H458" s="2" t="str">
        <f>_xlfn.XLOOKUP(orders!C458,customers!$A$2:$A$1001,customers!$G$2:$G$1001,0)</f>
        <v>United Kingdom</v>
      </c>
      <c r="I458" t="str">
        <f>INDEX(products!$A$1:$G$49,MATCH(orders!$D458,products!$A$1:$A$49,0),MATCH($I$1,products!$A$1:$G$1,0))</f>
        <v>Rob</v>
      </c>
      <c r="J458" t="str">
        <f>INDEX(products!$A$1:$G$49,MATCH(orders!$D458,products!$A$1:$A$49,0),MATCH($J$1,products!$A$1:$G$1,0))</f>
        <v>D</v>
      </c>
      <c r="K458" s="1">
        <f>INDEX(products!$A$1:$G$49,MATCH(orders!$D458,products!$A$1:$A$49,0),MATCH($K$1,products!$A$1:$G$1,0))</f>
        <v>2.5</v>
      </c>
      <c r="L458">
        <f>INDEX(products!$A$1:$G$49,MATCH(orders!$D458,products!$A$1:$A$49,0),MATCH($L$1,products!$A$1:$G$1,0))</f>
        <v>20.584999999999997</v>
      </c>
      <c r="M458">
        <f t="shared" si="22"/>
        <v>41.169999999999995</v>
      </c>
      <c r="N458" t="str">
        <f t="shared" si="23"/>
        <v>Robusta</v>
      </c>
      <c r="O458" t="str">
        <f t="shared" si="24"/>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_xlfn.XLOOKUP(C459,customers!$A$2:$A$1001,customers!$B$2:$B$1001,0)</f>
        <v>Carmelita Thowes</v>
      </c>
      <c r="G459" s="2" t="str">
        <f>_xlfn.XLOOKUP(C459,customers!$A$2:$A$1001,customers!$C$2:$C$1001,0)</f>
        <v>cthowescp@craigslist.org</v>
      </c>
      <c r="H459" s="2" t="str">
        <f>_xlfn.XLOOKUP(orders!C459,customers!$A$2:$A$1001,customers!$G$2:$G$1001,0)</f>
        <v>United States</v>
      </c>
      <c r="I459" t="str">
        <f>INDEX(products!$A$1:$G$49,MATCH(orders!$D459,products!$A$1:$A$49,0),MATCH($I$1,products!$A$1:$G$1,0))</f>
        <v>Lib</v>
      </c>
      <c r="J459" t="str">
        <f>INDEX(products!$A$1:$G$49,MATCH(orders!$D459,products!$A$1:$A$49,0),MATCH($J$1,products!$A$1:$G$1,0))</f>
        <v>L</v>
      </c>
      <c r="K459" s="1">
        <f>INDEX(products!$A$1:$G$49,MATCH(orders!$D459,products!$A$1:$A$49,0),MATCH($K$1,products!$A$1:$G$1,0))</f>
        <v>0.5</v>
      </c>
      <c r="L459">
        <f>INDEX(products!$A$1:$G$49,MATCH(orders!$D459,products!$A$1:$A$49,0),MATCH($L$1,products!$A$1:$G$1,0))</f>
        <v>9.51</v>
      </c>
      <c r="M459">
        <f t="shared" si="22"/>
        <v>47.55</v>
      </c>
      <c r="N459" t="str">
        <f t="shared" si="23"/>
        <v>Liberica</v>
      </c>
      <c r="O459" t="str">
        <f t="shared" si="24"/>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_xlfn.XLOOKUP(C460,customers!$A$2:$A$1001,customers!$B$2:$B$1001,0)</f>
        <v>Rodolfo Willoway</v>
      </c>
      <c r="G460" s="2" t="str">
        <f>_xlfn.XLOOKUP(C460,customers!$A$2:$A$1001,customers!$C$2:$C$1001,0)</f>
        <v>rwillowaycq@admin.ch</v>
      </c>
      <c r="H460" s="2" t="str">
        <f>_xlfn.XLOOKUP(orders!C460,customers!$A$2:$A$1001,customers!$G$2:$G$1001,0)</f>
        <v>United States</v>
      </c>
      <c r="I460" t="str">
        <f>INDEX(products!$A$1:$G$49,MATCH(orders!$D460,products!$A$1:$A$49,0),MATCH($I$1,products!$A$1:$G$1,0))</f>
        <v>Ara</v>
      </c>
      <c r="J460" t="str">
        <f>INDEX(products!$A$1:$G$49,MATCH(orders!$D460,products!$A$1:$A$49,0),MATCH($J$1,products!$A$1:$G$1,0))</f>
        <v>M</v>
      </c>
      <c r="K460" s="1">
        <f>INDEX(products!$A$1:$G$49,MATCH(orders!$D460,products!$A$1:$A$49,0),MATCH($K$1,products!$A$1:$G$1,0))</f>
        <v>1</v>
      </c>
      <c r="L460">
        <f>INDEX(products!$A$1:$G$49,MATCH(orders!$D460,products!$A$1:$A$49,0),MATCH($L$1,products!$A$1:$G$1,0))</f>
        <v>11.25</v>
      </c>
      <c r="M460">
        <f t="shared" si="22"/>
        <v>45</v>
      </c>
      <c r="N460" t="str">
        <f t="shared" si="23"/>
        <v>Arabica</v>
      </c>
      <c r="O460" t="str">
        <f t="shared" si="24"/>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_xlfn.XLOOKUP(C461,customers!$A$2:$A$1001,customers!$B$2:$B$1001,0)</f>
        <v>Alvis Elwin</v>
      </c>
      <c r="G461" s="2" t="str">
        <f>_xlfn.XLOOKUP(C461,customers!$A$2:$A$1001,customers!$C$2:$C$1001,0)</f>
        <v>aelwincr@privacy.gov.au</v>
      </c>
      <c r="H461" s="2" t="str">
        <f>_xlfn.XLOOKUP(orders!C461,customers!$A$2:$A$1001,customers!$G$2:$G$1001,0)</f>
        <v>United States</v>
      </c>
      <c r="I461" t="str">
        <f>INDEX(products!$A$1:$G$49,MATCH(orders!$D461,products!$A$1:$A$49,0),MATCH($I$1,products!$A$1:$G$1,0))</f>
        <v>Lib</v>
      </c>
      <c r="J461" t="str">
        <f>INDEX(products!$A$1:$G$49,MATCH(orders!$D461,products!$A$1:$A$49,0),MATCH($J$1,products!$A$1:$G$1,0))</f>
        <v>L</v>
      </c>
      <c r="K461" s="1">
        <f>INDEX(products!$A$1:$G$49,MATCH(orders!$D461,products!$A$1:$A$49,0),MATCH($K$1,products!$A$1:$G$1,0))</f>
        <v>0.2</v>
      </c>
      <c r="L461">
        <f>INDEX(products!$A$1:$G$49,MATCH(orders!$D461,products!$A$1:$A$49,0),MATCH($L$1,products!$A$1:$G$1,0))</f>
        <v>4.7549999999999999</v>
      </c>
      <c r="M461">
        <f t="shared" si="22"/>
        <v>23.774999999999999</v>
      </c>
      <c r="N461" t="str">
        <f t="shared" si="23"/>
        <v>Liberica</v>
      </c>
      <c r="O461" t="str">
        <f t="shared" si="24"/>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_xlfn.XLOOKUP(C462,customers!$A$2:$A$1001,customers!$B$2:$B$1001,0)</f>
        <v>Araldo Bilbrook</v>
      </c>
      <c r="G462" s="2" t="str">
        <f>_xlfn.XLOOKUP(C462,customers!$A$2:$A$1001,customers!$C$2:$C$1001,0)</f>
        <v>abilbrookcs@booking.com</v>
      </c>
      <c r="H462" s="2" t="str">
        <f>_xlfn.XLOOKUP(orders!C462,customers!$A$2:$A$1001,customers!$G$2:$G$1001,0)</f>
        <v>Ireland</v>
      </c>
      <c r="I462" t="str">
        <f>INDEX(products!$A$1:$G$49,MATCH(orders!$D462,products!$A$1:$A$49,0),MATCH($I$1,products!$A$1:$G$1,0))</f>
        <v>Rob</v>
      </c>
      <c r="J462" t="str">
        <f>INDEX(products!$A$1:$G$49,MATCH(orders!$D462,products!$A$1:$A$49,0),MATCH($J$1,products!$A$1:$G$1,0))</f>
        <v>D</v>
      </c>
      <c r="K462" s="1">
        <f>INDEX(products!$A$1:$G$49,MATCH(orders!$D462,products!$A$1:$A$49,0),MATCH($K$1,products!$A$1:$G$1,0))</f>
        <v>0.5</v>
      </c>
      <c r="L462">
        <f>INDEX(products!$A$1:$G$49,MATCH(orders!$D462,products!$A$1:$A$49,0),MATCH($L$1,products!$A$1:$G$1,0))</f>
        <v>5.3699999999999992</v>
      </c>
      <c r="M462">
        <f t="shared" si="22"/>
        <v>16.11</v>
      </c>
      <c r="N462" t="str">
        <f t="shared" si="23"/>
        <v>Robusta</v>
      </c>
      <c r="O462" t="str">
        <f t="shared" si="24"/>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_xlfn.XLOOKUP(C463,customers!$A$2:$A$1001,customers!$B$2:$B$1001,0)</f>
        <v>Ransell McKall</v>
      </c>
      <c r="G463" s="2" t="str">
        <f>_xlfn.XLOOKUP(C463,customers!$A$2:$A$1001,customers!$C$2:$C$1001,0)</f>
        <v>rmckallct@sakura.ne.jp</v>
      </c>
      <c r="H463" s="2" t="str">
        <f>_xlfn.XLOOKUP(orders!C463,customers!$A$2:$A$1001,customers!$G$2:$G$1001,0)</f>
        <v>United Kingdom</v>
      </c>
      <c r="I463" t="str">
        <f>INDEX(products!$A$1:$G$49,MATCH(orders!$D463,products!$A$1:$A$49,0),MATCH($I$1,products!$A$1:$G$1,0))</f>
        <v>Rob</v>
      </c>
      <c r="J463" t="str">
        <f>INDEX(products!$A$1:$G$49,MATCH(orders!$D463,products!$A$1:$A$49,0),MATCH($J$1,products!$A$1:$G$1,0))</f>
        <v>D</v>
      </c>
      <c r="K463" s="1">
        <f>INDEX(products!$A$1:$G$49,MATCH(orders!$D463,products!$A$1:$A$49,0),MATCH($K$1,products!$A$1:$G$1,0))</f>
        <v>0.2</v>
      </c>
      <c r="L463">
        <f>INDEX(products!$A$1:$G$49,MATCH(orders!$D463,products!$A$1:$A$49,0),MATCH($L$1,products!$A$1:$G$1,0))</f>
        <v>2.6849999999999996</v>
      </c>
      <c r="M463">
        <f t="shared" si="22"/>
        <v>10.739999999999998</v>
      </c>
      <c r="N463" t="str">
        <f t="shared" si="23"/>
        <v>Robusta</v>
      </c>
      <c r="O463" t="str">
        <f t="shared" si="24"/>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_xlfn.XLOOKUP(C464,customers!$A$2:$A$1001,customers!$B$2:$B$1001,0)</f>
        <v>Borg Daile</v>
      </c>
      <c r="G464" s="2" t="str">
        <f>_xlfn.XLOOKUP(C464,customers!$A$2:$A$1001,customers!$C$2:$C$1001,0)</f>
        <v>bdailecu@vistaprint.com</v>
      </c>
      <c r="H464" s="2" t="str">
        <f>_xlfn.XLOOKUP(orders!C464,customers!$A$2:$A$1001,customers!$G$2:$G$1001,0)</f>
        <v>United States</v>
      </c>
      <c r="I464" t="str">
        <f>INDEX(products!$A$1:$G$49,MATCH(orders!$D464,products!$A$1:$A$49,0),MATCH($I$1,products!$A$1:$G$1,0))</f>
        <v>Ara</v>
      </c>
      <c r="J464" t="str">
        <f>INDEX(products!$A$1:$G$49,MATCH(orders!$D464,products!$A$1:$A$49,0),MATCH($J$1,products!$A$1:$G$1,0))</f>
        <v>D</v>
      </c>
      <c r="K464" s="1">
        <f>INDEX(products!$A$1:$G$49,MATCH(orders!$D464,products!$A$1:$A$49,0),MATCH($K$1,products!$A$1:$G$1,0))</f>
        <v>1</v>
      </c>
      <c r="L464">
        <f>INDEX(products!$A$1:$G$49,MATCH(orders!$D464,products!$A$1:$A$49,0),MATCH($L$1,products!$A$1:$G$1,0))</f>
        <v>9.9499999999999993</v>
      </c>
      <c r="M464">
        <f t="shared" si="22"/>
        <v>49.75</v>
      </c>
      <c r="N464" t="str">
        <f t="shared" si="23"/>
        <v>Arabica</v>
      </c>
      <c r="O464" t="str">
        <f t="shared" si="24"/>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_xlfn.XLOOKUP(C465,customers!$A$2:$A$1001,customers!$B$2:$B$1001,0)</f>
        <v>Adolphe Treherne</v>
      </c>
      <c r="G465" s="2" t="str">
        <f>_xlfn.XLOOKUP(C465,customers!$A$2:$A$1001,customers!$C$2:$C$1001,0)</f>
        <v>atrehernecv@state.tx.us</v>
      </c>
      <c r="H465" s="2" t="str">
        <f>_xlfn.XLOOKUP(orders!C465,customers!$A$2:$A$1001,customers!$G$2:$G$1001,0)</f>
        <v>Ireland</v>
      </c>
      <c r="I465" t="str">
        <f>INDEX(products!$A$1:$G$49,MATCH(orders!$D465,products!$A$1:$A$49,0),MATCH($I$1,products!$A$1:$G$1,0))</f>
        <v>Exc</v>
      </c>
      <c r="J465" t="str">
        <f>INDEX(products!$A$1:$G$49,MATCH(orders!$D465,products!$A$1:$A$49,0),MATCH($J$1,products!$A$1:$G$1,0))</f>
        <v>M</v>
      </c>
      <c r="K465" s="1">
        <f>INDEX(products!$A$1:$G$49,MATCH(orders!$D465,products!$A$1:$A$49,0),MATCH($K$1,products!$A$1:$G$1,0))</f>
        <v>1</v>
      </c>
      <c r="L465">
        <f>INDEX(products!$A$1:$G$49,MATCH(orders!$D465,products!$A$1:$A$49,0),MATCH($L$1,products!$A$1:$G$1,0))</f>
        <v>13.75</v>
      </c>
      <c r="M465">
        <f t="shared" si="22"/>
        <v>27.5</v>
      </c>
      <c r="N465" t="str">
        <f t="shared" si="23"/>
        <v>Excelsa</v>
      </c>
      <c r="O465" t="str">
        <f t="shared" si="24"/>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_xlfn.XLOOKUP(C466,customers!$A$2:$A$1001,customers!$B$2:$B$1001,0)</f>
        <v>Annetta Brentnall</v>
      </c>
      <c r="G466" s="2" t="str">
        <f>_xlfn.XLOOKUP(C466,customers!$A$2:$A$1001,customers!$C$2:$C$1001,0)</f>
        <v>abrentnallcw@biglobe.ne.jp</v>
      </c>
      <c r="H466" s="2" t="str">
        <f>_xlfn.XLOOKUP(orders!C466,customers!$A$2:$A$1001,customers!$G$2:$G$1001,0)</f>
        <v>United Kingdom</v>
      </c>
      <c r="I466" t="str">
        <f>INDEX(products!$A$1:$G$49,MATCH(orders!$D466,products!$A$1:$A$49,0),MATCH($I$1,products!$A$1:$G$1,0))</f>
        <v>Lib</v>
      </c>
      <c r="J466" t="str">
        <f>INDEX(products!$A$1:$G$49,MATCH(orders!$D466,products!$A$1:$A$49,0),MATCH($J$1,products!$A$1:$G$1,0))</f>
        <v>D</v>
      </c>
      <c r="K466" s="1">
        <f>INDEX(products!$A$1:$G$49,MATCH(orders!$D466,products!$A$1:$A$49,0),MATCH($K$1,products!$A$1:$G$1,0))</f>
        <v>2.5</v>
      </c>
      <c r="L466">
        <f>INDEX(products!$A$1:$G$49,MATCH(orders!$D466,products!$A$1:$A$49,0),MATCH($L$1,products!$A$1:$G$1,0))</f>
        <v>29.784999999999997</v>
      </c>
      <c r="M466">
        <f t="shared" si="22"/>
        <v>119.13999999999999</v>
      </c>
      <c r="N466" t="str">
        <f t="shared" si="23"/>
        <v>Liberica</v>
      </c>
      <c r="O466" t="str">
        <f t="shared" si="24"/>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_xlfn.XLOOKUP(C467,customers!$A$2:$A$1001,customers!$B$2:$B$1001,0)</f>
        <v>Dick Drinkall</v>
      </c>
      <c r="G467" s="2" t="str">
        <f>_xlfn.XLOOKUP(C467,customers!$A$2:$A$1001,customers!$C$2:$C$1001,0)</f>
        <v>ddrinkallcx@psu.edu</v>
      </c>
      <c r="H467" s="2" t="str">
        <f>_xlfn.XLOOKUP(orders!C467,customers!$A$2:$A$1001,customers!$G$2:$G$1001,0)</f>
        <v>United States</v>
      </c>
      <c r="I467" t="str">
        <f>INDEX(products!$A$1:$G$49,MATCH(orders!$D467,products!$A$1:$A$49,0),MATCH($I$1,products!$A$1:$G$1,0))</f>
        <v>Rob</v>
      </c>
      <c r="J467" t="str">
        <f>INDEX(products!$A$1:$G$49,MATCH(orders!$D467,products!$A$1:$A$49,0),MATCH($J$1,products!$A$1:$G$1,0))</f>
        <v>D</v>
      </c>
      <c r="K467" s="1">
        <f>INDEX(products!$A$1:$G$49,MATCH(orders!$D467,products!$A$1:$A$49,0),MATCH($K$1,products!$A$1:$G$1,0))</f>
        <v>2.5</v>
      </c>
      <c r="L467">
        <f>INDEX(products!$A$1:$G$49,MATCH(orders!$D467,products!$A$1:$A$49,0),MATCH($L$1,products!$A$1:$G$1,0))</f>
        <v>20.584999999999997</v>
      </c>
      <c r="M467">
        <f t="shared" si="22"/>
        <v>20.584999999999997</v>
      </c>
      <c r="N467" t="str">
        <f t="shared" si="23"/>
        <v>Robusta</v>
      </c>
      <c r="O467" t="str">
        <f t="shared" si="24"/>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_xlfn.XLOOKUP(C468,customers!$A$2:$A$1001,customers!$B$2:$B$1001,0)</f>
        <v>Dagny Kornel</v>
      </c>
      <c r="G468" s="2" t="str">
        <f>_xlfn.XLOOKUP(C468,customers!$A$2:$A$1001,customers!$C$2:$C$1001,0)</f>
        <v>dkornelcy@cyberchimps.com</v>
      </c>
      <c r="H468" s="2" t="str">
        <f>_xlfn.XLOOKUP(orders!C468,customers!$A$2:$A$1001,customers!$G$2:$G$1001,0)</f>
        <v>United States</v>
      </c>
      <c r="I468" t="str">
        <f>INDEX(products!$A$1:$G$49,MATCH(orders!$D468,products!$A$1:$A$49,0),MATCH($I$1,products!$A$1:$G$1,0))</f>
        <v>Ara</v>
      </c>
      <c r="J468" t="str">
        <f>INDEX(products!$A$1:$G$49,MATCH(orders!$D468,products!$A$1:$A$49,0),MATCH($J$1,products!$A$1:$G$1,0))</f>
        <v>D</v>
      </c>
      <c r="K468" s="1">
        <f>INDEX(products!$A$1:$G$49,MATCH(orders!$D468,products!$A$1:$A$49,0),MATCH($K$1,products!$A$1:$G$1,0))</f>
        <v>0.2</v>
      </c>
      <c r="L468">
        <f>INDEX(products!$A$1:$G$49,MATCH(orders!$D468,products!$A$1:$A$49,0),MATCH($L$1,products!$A$1:$G$1,0))</f>
        <v>2.9849999999999999</v>
      </c>
      <c r="M468">
        <f t="shared" si="22"/>
        <v>8.9550000000000001</v>
      </c>
      <c r="N468" t="str">
        <f t="shared" si="23"/>
        <v>Arabica</v>
      </c>
      <c r="O468" t="str">
        <f t="shared" si="24"/>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_xlfn.XLOOKUP(C469,customers!$A$2:$A$1001,customers!$B$2:$B$1001,0)</f>
        <v>Rhona Lequeux</v>
      </c>
      <c r="G469" s="2" t="str">
        <f>_xlfn.XLOOKUP(C469,customers!$A$2:$A$1001,customers!$C$2:$C$1001,0)</f>
        <v>rlequeuxcz@newyorker.com</v>
      </c>
      <c r="H469" s="2" t="str">
        <f>_xlfn.XLOOKUP(orders!C469,customers!$A$2:$A$1001,customers!$G$2:$G$1001,0)</f>
        <v>United States</v>
      </c>
      <c r="I469" t="str">
        <f>INDEX(products!$A$1:$G$49,MATCH(orders!$D469,products!$A$1:$A$49,0),MATCH($I$1,products!$A$1:$G$1,0))</f>
        <v>Ara</v>
      </c>
      <c r="J469" t="str">
        <f>INDEX(products!$A$1:$G$49,MATCH(orders!$D469,products!$A$1:$A$49,0),MATCH($J$1,products!$A$1:$G$1,0))</f>
        <v>D</v>
      </c>
      <c r="K469" s="1">
        <f>INDEX(products!$A$1:$G$49,MATCH(orders!$D469,products!$A$1:$A$49,0),MATCH($K$1,products!$A$1:$G$1,0))</f>
        <v>0.5</v>
      </c>
      <c r="L469">
        <f>INDEX(products!$A$1:$G$49,MATCH(orders!$D469,products!$A$1:$A$49,0),MATCH($L$1,products!$A$1:$G$1,0))</f>
        <v>5.97</v>
      </c>
      <c r="M469">
        <f t="shared" si="22"/>
        <v>5.97</v>
      </c>
      <c r="N469" t="str">
        <f t="shared" si="23"/>
        <v>Arabica</v>
      </c>
      <c r="O469" t="str">
        <f t="shared" si="24"/>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_xlfn.XLOOKUP(C470,customers!$A$2:$A$1001,customers!$B$2:$B$1001,0)</f>
        <v>Julius Mccaull</v>
      </c>
      <c r="G470" s="2" t="str">
        <f>_xlfn.XLOOKUP(C470,customers!$A$2:$A$1001,customers!$C$2:$C$1001,0)</f>
        <v>jmccaulld0@parallels.com</v>
      </c>
      <c r="H470" s="2" t="str">
        <f>_xlfn.XLOOKUP(orders!C470,customers!$A$2:$A$1001,customers!$G$2:$G$1001,0)</f>
        <v>United States</v>
      </c>
      <c r="I470" t="str">
        <f>INDEX(products!$A$1:$G$49,MATCH(orders!$D470,products!$A$1:$A$49,0),MATCH($I$1,products!$A$1:$G$1,0))</f>
        <v>Exc</v>
      </c>
      <c r="J470" t="str">
        <f>INDEX(products!$A$1:$G$49,MATCH(orders!$D470,products!$A$1:$A$49,0),MATCH($J$1,products!$A$1:$G$1,0))</f>
        <v>M</v>
      </c>
      <c r="K470" s="1">
        <f>INDEX(products!$A$1:$G$49,MATCH(orders!$D470,products!$A$1:$A$49,0),MATCH($K$1,products!$A$1:$G$1,0))</f>
        <v>1</v>
      </c>
      <c r="L470">
        <f>INDEX(products!$A$1:$G$49,MATCH(orders!$D470,products!$A$1:$A$49,0),MATCH($L$1,products!$A$1:$G$1,0))</f>
        <v>13.75</v>
      </c>
      <c r="M470">
        <f t="shared" si="22"/>
        <v>41.25</v>
      </c>
      <c r="N470" t="str">
        <f t="shared" si="23"/>
        <v>Excelsa</v>
      </c>
      <c r="O470" t="str">
        <f t="shared" si="24"/>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_xlfn.XLOOKUP(C471,customers!$A$2:$A$1001,customers!$B$2:$B$1001,0)</f>
        <v>Ailey Brash</v>
      </c>
      <c r="G471" s="2" t="str">
        <f>_xlfn.XLOOKUP(C471,customers!$A$2:$A$1001,customers!$C$2:$C$1001,0)</f>
        <v>abrashda@plala.or.jp</v>
      </c>
      <c r="H471" s="2" t="str">
        <f>_xlfn.XLOOKUP(orders!C471,customers!$A$2:$A$1001,customers!$G$2:$G$1001,0)</f>
        <v>United States</v>
      </c>
      <c r="I471" t="str">
        <f>INDEX(products!$A$1:$G$49,MATCH(orders!$D471,products!$A$1:$A$49,0),MATCH($I$1,products!$A$1:$G$1,0))</f>
        <v>Exc</v>
      </c>
      <c r="J471" t="str">
        <f>INDEX(products!$A$1:$G$49,MATCH(orders!$D471,products!$A$1:$A$49,0),MATCH($J$1,products!$A$1:$G$1,0))</f>
        <v>L</v>
      </c>
      <c r="K471" s="1">
        <f>INDEX(products!$A$1:$G$49,MATCH(orders!$D471,products!$A$1:$A$49,0),MATCH($K$1,products!$A$1:$G$1,0))</f>
        <v>0.2</v>
      </c>
      <c r="L471">
        <f>INDEX(products!$A$1:$G$49,MATCH(orders!$D471,products!$A$1:$A$49,0),MATCH($L$1,products!$A$1:$G$1,0))</f>
        <v>4.4550000000000001</v>
      </c>
      <c r="M471">
        <f t="shared" si="22"/>
        <v>22.274999999999999</v>
      </c>
      <c r="N471" t="str">
        <f t="shared" si="23"/>
        <v>Excelsa</v>
      </c>
      <c r="O471" t="str">
        <f t="shared" si="24"/>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_xlfn.XLOOKUP(C472,customers!$A$2:$A$1001,customers!$B$2:$B$1001,0)</f>
        <v>Alberto Hutchinson</v>
      </c>
      <c r="G472" s="2" t="str">
        <f>_xlfn.XLOOKUP(C472,customers!$A$2:$A$1001,customers!$C$2:$C$1001,0)</f>
        <v>ahutchinsond2@imgur.com</v>
      </c>
      <c r="H472" s="2" t="str">
        <f>_xlfn.XLOOKUP(orders!C472,customers!$A$2:$A$1001,customers!$G$2:$G$1001,0)</f>
        <v>United States</v>
      </c>
      <c r="I472" t="str">
        <f>INDEX(products!$A$1:$G$49,MATCH(orders!$D472,products!$A$1:$A$49,0),MATCH($I$1,products!$A$1:$G$1,0))</f>
        <v>Ara</v>
      </c>
      <c r="J472" t="str">
        <f>INDEX(products!$A$1:$G$49,MATCH(orders!$D472,products!$A$1:$A$49,0),MATCH($J$1,products!$A$1:$G$1,0))</f>
        <v>M</v>
      </c>
      <c r="K472" s="1">
        <f>INDEX(products!$A$1:$G$49,MATCH(orders!$D472,products!$A$1:$A$49,0),MATCH($K$1,products!$A$1:$G$1,0))</f>
        <v>0.5</v>
      </c>
      <c r="L472">
        <f>INDEX(products!$A$1:$G$49,MATCH(orders!$D472,products!$A$1:$A$49,0),MATCH($L$1,products!$A$1:$G$1,0))</f>
        <v>6.75</v>
      </c>
      <c r="M472">
        <f t="shared" si="22"/>
        <v>6.75</v>
      </c>
      <c r="N472" t="str">
        <f t="shared" si="23"/>
        <v>Arabica</v>
      </c>
      <c r="O472" t="str">
        <f t="shared" si="24"/>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_xlfn.XLOOKUP(C473,customers!$A$2:$A$1001,customers!$B$2:$B$1001,0)</f>
        <v>Lamond Gheeraert</v>
      </c>
      <c r="G473" s="2">
        <f>_xlfn.XLOOKUP(C473,customers!$A$2:$A$1001,customers!$C$2:$C$1001,0)</f>
        <v>0</v>
      </c>
      <c r="H473" s="2" t="str">
        <f>_xlfn.XLOOKUP(orders!C473,customers!$A$2:$A$1001,customers!$G$2:$G$1001,0)</f>
        <v>United States</v>
      </c>
      <c r="I473" t="str">
        <f>INDEX(products!$A$1:$G$49,MATCH(orders!$D473,products!$A$1:$A$49,0),MATCH($I$1,products!$A$1:$G$1,0))</f>
        <v>Lib</v>
      </c>
      <c r="J473" t="str">
        <f>INDEX(products!$A$1:$G$49,MATCH(orders!$D473,products!$A$1:$A$49,0),MATCH($J$1,products!$A$1:$G$1,0))</f>
        <v>M</v>
      </c>
      <c r="K473" s="1">
        <f>INDEX(products!$A$1:$G$49,MATCH(orders!$D473,products!$A$1:$A$49,0),MATCH($K$1,products!$A$1:$G$1,0))</f>
        <v>2.5</v>
      </c>
      <c r="L473">
        <f>INDEX(products!$A$1:$G$49,MATCH(orders!$D473,products!$A$1:$A$49,0),MATCH($L$1,products!$A$1:$G$1,0))</f>
        <v>33.464999999999996</v>
      </c>
      <c r="M473">
        <f t="shared" si="22"/>
        <v>133.85999999999999</v>
      </c>
      <c r="N473" t="str">
        <f t="shared" si="23"/>
        <v>Liberica</v>
      </c>
      <c r="O473" t="str">
        <f t="shared" si="24"/>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_xlfn.XLOOKUP(C474,customers!$A$2:$A$1001,customers!$B$2:$B$1001,0)</f>
        <v>Roxine Drivers</v>
      </c>
      <c r="G474" s="2" t="str">
        <f>_xlfn.XLOOKUP(C474,customers!$A$2:$A$1001,customers!$C$2:$C$1001,0)</f>
        <v>rdriversd4@hexun.com</v>
      </c>
      <c r="H474" s="2" t="str">
        <f>_xlfn.XLOOKUP(orders!C474,customers!$A$2:$A$1001,customers!$G$2:$G$1001,0)</f>
        <v>United States</v>
      </c>
      <c r="I474" t="str">
        <f>INDEX(products!$A$1:$G$49,MATCH(orders!$D474,products!$A$1:$A$49,0),MATCH($I$1,products!$A$1:$G$1,0))</f>
        <v>Ara</v>
      </c>
      <c r="J474" t="str">
        <f>INDEX(products!$A$1:$G$49,MATCH(orders!$D474,products!$A$1:$A$49,0),MATCH($J$1,products!$A$1:$G$1,0))</f>
        <v>D</v>
      </c>
      <c r="K474" s="1">
        <f>INDEX(products!$A$1:$G$49,MATCH(orders!$D474,products!$A$1:$A$49,0),MATCH($K$1,products!$A$1:$G$1,0))</f>
        <v>0.2</v>
      </c>
      <c r="L474">
        <f>INDEX(products!$A$1:$G$49,MATCH(orders!$D474,products!$A$1:$A$49,0),MATCH($L$1,products!$A$1:$G$1,0))</f>
        <v>2.9849999999999999</v>
      </c>
      <c r="M474">
        <f t="shared" si="22"/>
        <v>5.97</v>
      </c>
      <c r="N474" t="str">
        <f t="shared" si="23"/>
        <v>Arabica</v>
      </c>
      <c r="O474" t="str">
        <f t="shared" si="24"/>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_xlfn.XLOOKUP(C475,customers!$A$2:$A$1001,customers!$B$2:$B$1001,0)</f>
        <v>Heloise Zeal</v>
      </c>
      <c r="G475" s="2" t="str">
        <f>_xlfn.XLOOKUP(C475,customers!$A$2:$A$1001,customers!$C$2:$C$1001,0)</f>
        <v>hzeald5@google.de</v>
      </c>
      <c r="H475" s="2" t="str">
        <f>_xlfn.XLOOKUP(orders!C475,customers!$A$2:$A$1001,customers!$G$2:$G$1001,0)</f>
        <v>United States</v>
      </c>
      <c r="I475" t="str">
        <f>INDEX(products!$A$1:$G$49,MATCH(orders!$D475,products!$A$1:$A$49,0),MATCH($I$1,products!$A$1:$G$1,0))</f>
        <v>Ara</v>
      </c>
      <c r="J475" t="str">
        <f>INDEX(products!$A$1:$G$49,MATCH(orders!$D475,products!$A$1:$A$49,0),MATCH($J$1,products!$A$1:$G$1,0))</f>
        <v>L</v>
      </c>
      <c r="K475" s="1">
        <f>INDEX(products!$A$1:$G$49,MATCH(orders!$D475,products!$A$1:$A$49,0),MATCH($K$1,products!$A$1:$G$1,0))</f>
        <v>1</v>
      </c>
      <c r="L475">
        <f>INDEX(products!$A$1:$G$49,MATCH(orders!$D475,products!$A$1:$A$49,0),MATCH($L$1,products!$A$1:$G$1,0))</f>
        <v>12.95</v>
      </c>
      <c r="M475">
        <f t="shared" si="22"/>
        <v>25.9</v>
      </c>
      <c r="N475" t="str">
        <f t="shared" si="23"/>
        <v>Arabica</v>
      </c>
      <c r="O475" t="str">
        <f t="shared" si="24"/>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_xlfn.XLOOKUP(C476,customers!$A$2:$A$1001,customers!$B$2:$B$1001,0)</f>
        <v>Granger Smallcombe</v>
      </c>
      <c r="G476" s="2" t="str">
        <f>_xlfn.XLOOKUP(C476,customers!$A$2:$A$1001,customers!$C$2:$C$1001,0)</f>
        <v>gsmallcombed6@ucla.edu</v>
      </c>
      <c r="H476" s="2" t="str">
        <f>_xlfn.XLOOKUP(orders!C476,customers!$A$2:$A$1001,customers!$G$2:$G$1001,0)</f>
        <v>Ireland</v>
      </c>
      <c r="I476" t="str">
        <f>INDEX(products!$A$1:$G$49,MATCH(orders!$D476,products!$A$1:$A$49,0),MATCH($I$1,products!$A$1:$G$1,0))</f>
        <v>Exc</v>
      </c>
      <c r="J476" t="str">
        <f>INDEX(products!$A$1:$G$49,MATCH(orders!$D476,products!$A$1:$A$49,0),MATCH($J$1,products!$A$1:$G$1,0))</f>
        <v>M</v>
      </c>
      <c r="K476" s="1">
        <f>INDEX(products!$A$1:$G$49,MATCH(orders!$D476,products!$A$1:$A$49,0),MATCH($K$1,products!$A$1:$G$1,0))</f>
        <v>2.5</v>
      </c>
      <c r="L476">
        <f>INDEX(products!$A$1:$G$49,MATCH(orders!$D476,products!$A$1:$A$49,0),MATCH($L$1,products!$A$1:$G$1,0))</f>
        <v>31.624999999999996</v>
      </c>
      <c r="M476">
        <f t="shared" si="22"/>
        <v>31.624999999999996</v>
      </c>
      <c r="N476" t="str">
        <f t="shared" si="23"/>
        <v>Excelsa</v>
      </c>
      <c r="O476" t="str">
        <f t="shared" si="24"/>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_xlfn.XLOOKUP(C477,customers!$A$2:$A$1001,customers!$B$2:$B$1001,0)</f>
        <v>Daryn Dibley</v>
      </c>
      <c r="G477" s="2" t="str">
        <f>_xlfn.XLOOKUP(C477,customers!$A$2:$A$1001,customers!$C$2:$C$1001,0)</f>
        <v>ddibleyd7@feedburner.com</v>
      </c>
      <c r="H477" s="2" t="str">
        <f>_xlfn.XLOOKUP(orders!C477,customers!$A$2:$A$1001,customers!$G$2:$G$1001,0)</f>
        <v>United States</v>
      </c>
      <c r="I477" t="str">
        <f>INDEX(products!$A$1:$G$49,MATCH(orders!$D477,products!$A$1:$A$49,0),MATCH($I$1,products!$A$1:$G$1,0))</f>
        <v>Lib</v>
      </c>
      <c r="J477" t="str">
        <f>INDEX(products!$A$1:$G$49,MATCH(orders!$D477,products!$A$1:$A$49,0),MATCH($J$1,products!$A$1:$G$1,0))</f>
        <v>M</v>
      </c>
      <c r="K477" s="1">
        <f>INDEX(products!$A$1:$G$49,MATCH(orders!$D477,products!$A$1:$A$49,0),MATCH($K$1,products!$A$1:$G$1,0))</f>
        <v>0.2</v>
      </c>
      <c r="L477">
        <f>INDEX(products!$A$1:$G$49,MATCH(orders!$D477,products!$A$1:$A$49,0),MATCH($L$1,products!$A$1:$G$1,0))</f>
        <v>4.3650000000000002</v>
      </c>
      <c r="M477">
        <f t="shared" si="22"/>
        <v>8.73</v>
      </c>
      <c r="N477" t="str">
        <f t="shared" si="23"/>
        <v>Liberica</v>
      </c>
      <c r="O477" t="str">
        <f t="shared" si="24"/>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_xlfn.XLOOKUP(C478,customers!$A$2:$A$1001,customers!$B$2:$B$1001,0)</f>
        <v>Gardy Dimitriou</v>
      </c>
      <c r="G478" s="2" t="str">
        <f>_xlfn.XLOOKUP(C478,customers!$A$2:$A$1001,customers!$C$2:$C$1001,0)</f>
        <v>gdimitrioud8@chronoengine.com</v>
      </c>
      <c r="H478" s="2" t="str">
        <f>_xlfn.XLOOKUP(orders!C478,customers!$A$2:$A$1001,customers!$G$2:$G$1001,0)</f>
        <v>United States</v>
      </c>
      <c r="I478" t="str">
        <f>INDEX(products!$A$1:$G$49,MATCH(orders!$D478,products!$A$1:$A$49,0),MATCH($I$1,products!$A$1:$G$1,0))</f>
        <v>Exc</v>
      </c>
      <c r="J478" t="str">
        <f>INDEX(products!$A$1:$G$49,MATCH(orders!$D478,products!$A$1:$A$49,0),MATCH($J$1,products!$A$1:$G$1,0))</f>
        <v>L</v>
      </c>
      <c r="K478" s="1">
        <f>INDEX(products!$A$1:$G$49,MATCH(orders!$D478,products!$A$1:$A$49,0),MATCH($K$1,products!$A$1:$G$1,0))</f>
        <v>0.2</v>
      </c>
      <c r="L478">
        <f>INDEX(products!$A$1:$G$49,MATCH(orders!$D478,products!$A$1:$A$49,0),MATCH($L$1,products!$A$1:$G$1,0))</f>
        <v>4.4550000000000001</v>
      </c>
      <c r="M478">
        <f t="shared" si="22"/>
        <v>26.73</v>
      </c>
      <c r="N478" t="str">
        <f t="shared" si="23"/>
        <v>Excelsa</v>
      </c>
      <c r="O478" t="str">
        <f t="shared" si="24"/>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_xlfn.XLOOKUP(C479,customers!$A$2:$A$1001,customers!$B$2:$B$1001,0)</f>
        <v>Fanny Flanagan</v>
      </c>
      <c r="G479" s="2" t="str">
        <f>_xlfn.XLOOKUP(C479,customers!$A$2:$A$1001,customers!$C$2:$C$1001,0)</f>
        <v>fflanagand9@woothemes.com</v>
      </c>
      <c r="H479" s="2" t="str">
        <f>_xlfn.XLOOKUP(orders!C479,customers!$A$2:$A$1001,customers!$G$2:$G$1001,0)</f>
        <v>United States</v>
      </c>
      <c r="I479" t="str">
        <f>INDEX(products!$A$1:$G$49,MATCH(orders!$D479,products!$A$1:$A$49,0),MATCH($I$1,products!$A$1:$G$1,0))</f>
        <v>Lib</v>
      </c>
      <c r="J479" t="str">
        <f>INDEX(products!$A$1:$G$49,MATCH(orders!$D479,products!$A$1:$A$49,0),MATCH($J$1,products!$A$1:$G$1,0))</f>
        <v>M</v>
      </c>
      <c r="K479" s="1">
        <f>INDEX(products!$A$1:$G$49,MATCH(orders!$D479,products!$A$1:$A$49,0),MATCH($K$1,products!$A$1:$G$1,0))</f>
        <v>0.2</v>
      </c>
      <c r="L479">
        <f>INDEX(products!$A$1:$G$49,MATCH(orders!$D479,products!$A$1:$A$49,0),MATCH($L$1,products!$A$1:$G$1,0))</f>
        <v>4.3650000000000002</v>
      </c>
      <c r="M479">
        <f t="shared" si="22"/>
        <v>26.19</v>
      </c>
      <c r="N479" t="str">
        <f t="shared" si="23"/>
        <v>Liberica</v>
      </c>
      <c r="O479" t="str">
        <f t="shared" si="24"/>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_xlfn.XLOOKUP(C480,customers!$A$2:$A$1001,customers!$B$2:$B$1001,0)</f>
        <v>Ailey Brash</v>
      </c>
      <c r="G480" s="2" t="str">
        <f>_xlfn.XLOOKUP(C480,customers!$A$2:$A$1001,customers!$C$2:$C$1001,0)</f>
        <v>abrashda@plala.or.jp</v>
      </c>
      <c r="H480" s="2" t="str">
        <f>_xlfn.XLOOKUP(orders!C480,customers!$A$2:$A$1001,customers!$G$2:$G$1001,0)</f>
        <v>United States</v>
      </c>
      <c r="I480" t="str">
        <f>INDEX(products!$A$1:$G$49,MATCH(orders!$D480,products!$A$1:$A$49,0),MATCH($I$1,products!$A$1:$G$1,0))</f>
        <v>Rob</v>
      </c>
      <c r="J480" t="str">
        <f>INDEX(products!$A$1:$G$49,MATCH(orders!$D480,products!$A$1:$A$49,0),MATCH($J$1,products!$A$1:$G$1,0))</f>
        <v>D</v>
      </c>
      <c r="K480" s="1">
        <f>INDEX(products!$A$1:$G$49,MATCH(orders!$D480,products!$A$1:$A$49,0),MATCH($K$1,products!$A$1:$G$1,0))</f>
        <v>1</v>
      </c>
      <c r="L480">
        <f>INDEX(products!$A$1:$G$49,MATCH(orders!$D480,products!$A$1:$A$49,0),MATCH($L$1,products!$A$1:$G$1,0))</f>
        <v>8.9499999999999993</v>
      </c>
      <c r="M480">
        <f t="shared" si="22"/>
        <v>53.699999999999996</v>
      </c>
      <c r="N480" t="str">
        <f t="shared" si="23"/>
        <v>Robusta</v>
      </c>
      <c r="O480" t="str">
        <f t="shared" si="24"/>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_xlfn.XLOOKUP(C481,customers!$A$2:$A$1001,customers!$B$2:$B$1001,0)</f>
        <v>Ailey Brash</v>
      </c>
      <c r="G481" s="2" t="str">
        <f>_xlfn.XLOOKUP(C481,customers!$A$2:$A$1001,customers!$C$2:$C$1001,0)</f>
        <v>abrashda@plala.or.jp</v>
      </c>
      <c r="H481" s="2" t="str">
        <f>_xlfn.XLOOKUP(orders!C481,customers!$A$2:$A$1001,customers!$G$2:$G$1001,0)</f>
        <v>United States</v>
      </c>
      <c r="I481" t="str">
        <f>INDEX(products!$A$1:$G$49,MATCH(orders!$D481,products!$A$1:$A$49,0),MATCH($I$1,products!$A$1:$G$1,0))</f>
        <v>Exc</v>
      </c>
      <c r="J481" t="str">
        <f>INDEX(products!$A$1:$G$49,MATCH(orders!$D481,products!$A$1:$A$49,0),MATCH($J$1,products!$A$1:$G$1,0))</f>
        <v>M</v>
      </c>
      <c r="K481" s="1">
        <f>INDEX(products!$A$1:$G$49,MATCH(orders!$D481,products!$A$1:$A$49,0),MATCH($K$1,products!$A$1:$G$1,0))</f>
        <v>2.5</v>
      </c>
      <c r="L481">
        <f>INDEX(products!$A$1:$G$49,MATCH(orders!$D481,products!$A$1:$A$49,0),MATCH($L$1,products!$A$1:$G$1,0))</f>
        <v>31.624999999999996</v>
      </c>
      <c r="M481">
        <f t="shared" si="22"/>
        <v>126.49999999999999</v>
      </c>
      <c r="N481" t="str">
        <f t="shared" si="23"/>
        <v>Excelsa</v>
      </c>
      <c r="O481" t="str">
        <f t="shared" si="24"/>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_xlfn.XLOOKUP(C482,customers!$A$2:$A$1001,customers!$B$2:$B$1001,0)</f>
        <v>Ailey Brash</v>
      </c>
      <c r="G482" s="2" t="str">
        <f>_xlfn.XLOOKUP(C482,customers!$A$2:$A$1001,customers!$C$2:$C$1001,0)</f>
        <v>abrashda@plala.or.jp</v>
      </c>
      <c r="H482" s="2" t="str">
        <f>_xlfn.XLOOKUP(orders!C482,customers!$A$2:$A$1001,customers!$G$2:$G$1001,0)</f>
        <v>United States</v>
      </c>
      <c r="I482" t="str">
        <f>INDEX(products!$A$1:$G$49,MATCH(orders!$D482,products!$A$1:$A$49,0),MATCH($I$1,products!$A$1:$G$1,0))</f>
        <v>Exc</v>
      </c>
      <c r="J482" t="str">
        <f>INDEX(products!$A$1:$G$49,MATCH(orders!$D482,products!$A$1:$A$49,0),MATCH($J$1,products!$A$1:$G$1,0))</f>
        <v>M</v>
      </c>
      <c r="K482" s="1">
        <f>INDEX(products!$A$1:$G$49,MATCH(orders!$D482,products!$A$1:$A$49,0),MATCH($K$1,products!$A$1:$G$1,0))</f>
        <v>0.2</v>
      </c>
      <c r="L482">
        <f>INDEX(products!$A$1:$G$49,MATCH(orders!$D482,products!$A$1:$A$49,0),MATCH($L$1,products!$A$1:$G$1,0))</f>
        <v>4.125</v>
      </c>
      <c r="M482">
        <f t="shared" si="22"/>
        <v>4.125</v>
      </c>
      <c r="N482" t="str">
        <f t="shared" si="23"/>
        <v>Excelsa</v>
      </c>
      <c r="O482" t="str">
        <f t="shared" si="24"/>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_xlfn.XLOOKUP(C483,customers!$A$2:$A$1001,customers!$B$2:$B$1001,0)</f>
        <v>Nanny Izhakov</v>
      </c>
      <c r="G483" s="2" t="str">
        <f>_xlfn.XLOOKUP(C483,customers!$A$2:$A$1001,customers!$C$2:$C$1001,0)</f>
        <v>nizhakovdd@aol.com</v>
      </c>
      <c r="H483" s="2" t="str">
        <f>_xlfn.XLOOKUP(orders!C483,customers!$A$2:$A$1001,customers!$G$2:$G$1001,0)</f>
        <v>United Kingdom</v>
      </c>
      <c r="I483" t="str">
        <f>INDEX(products!$A$1:$G$49,MATCH(orders!$D483,products!$A$1:$A$49,0),MATCH($I$1,products!$A$1:$G$1,0))</f>
        <v>Rob</v>
      </c>
      <c r="J483" t="str">
        <f>INDEX(products!$A$1:$G$49,MATCH(orders!$D483,products!$A$1:$A$49,0),MATCH($J$1,products!$A$1:$G$1,0))</f>
        <v>L</v>
      </c>
      <c r="K483" s="1">
        <f>INDEX(products!$A$1:$G$49,MATCH(orders!$D483,products!$A$1:$A$49,0),MATCH($K$1,products!$A$1:$G$1,0))</f>
        <v>1</v>
      </c>
      <c r="L483">
        <f>INDEX(products!$A$1:$G$49,MATCH(orders!$D483,products!$A$1:$A$49,0),MATCH($L$1,products!$A$1:$G$1,0))</f>
        <v>11.95</v>
      </c>
      <c r="M483">
        <f t="shared" si="22"/>
        <v>23.9</v>
      </c>
      <c r="N483" t="str">
        <f t="shared" si="23"/>
        <v>Robusta</v>
      </c>
      <c r="O483" t="str">
        <f t="shared" si="24"/>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_xlfn.XLOOKUP(C484,customers!$A$2:$A$1001,customers!$B$2:$B$1001,0)</f>
        <v>Stanly Keets</v>
      </c>
      <c r="G484" s="2" t="str">
        <f>_xlfn.XLOOKUP(C484,customers!$A$2:$A$1001,customers!$C$2:$C$1001,0)</f>
        <v>skeetsde@answers.com</v>
      </c>
      <c r="H484" s="2" t="str">
        <f>_xlfn.XLOOKUP(orders!C484,customers!$A$2:$A$1001,customers!$G$2:$G$1001,0)</f>
        <v>United States</v>
      </c>
      <c r="I484" t="str">
        <f>INDEX(products!$A$1:$G$49,MATCH(orders!$D484,products!$A$1:$A$49,0),MATCH($I$1,products!$A$1:$G$1,0))</f>
        <v>Exc</v>
      </c>
      <c r="J484" t="str">
        <f>INDEX(products!$A$1:$G$49,MATCH(orders!$D484,products!$A$1:$A$49,0),MATCH($J$1,products!$A$1:$G$1,0))</f>
        <v>D</v>
      </c>
      <c r="K484" s="1">
        <f>INDEX(products!$A$1:$G$49,MATCH(orders!$D484,products!$A$1:$A$49,0),MATCH($K$1,products!$A$1:$G$1,0))</f>
        <v>2.5</v>
      </c>
      <c r="L484">
        <f>INDEX(products!$A$1:$G$49,MATCH(orders!$D484,products!$A$1:$A$49,0),MATCH($L$1,products!$A$1:$G$1,0))</f>
        <v>27.945</v>
      </c>
      <c r="M484">
        <f t="shared" si="22"/>
        <v>139.72499999999999</v>
      </c>
      <c r="N484" t="str">
        <f t="shared" si="23"/>
        <v>Excelsa</v>
      </c>
      <c r="O484" t="str">
        <f t="shared" si="24"/>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_xlfn.XLOOKUP(C485,customers!$A$2:$A$1001,customers!$B$2:$B$1001,0)</f>
        <v>Orion Dyott</v>
      </c>
      <c r="G485" s="2">
        <f>_xlfn.XLOOKUP(C485,customers!$A$2:$A$1001,customers!$C$2:$C$1001,0)</f>
        <v>0</v>
      </c>
      <c r="H485" s="2" t="str">
        <f>_xlfn.XLOOKUP(orders!C485,customers!$A$2:$A$1001,customers!$G$2:$G$1001,0)</f>
        <v>United States</v>
      </c>
      <c r="I485" t="str">
        <f>INDEX(products!$A$1:$G$49,MATCH(orders!$D485,products!$A$1:$A$49,0),MATCH($I$1,products!$A$1:$G$1,0))</f>
        <v>Lib</v>
      </c>
      <c r="J485" t="str">
        <f>INDEX(products!$A$1:$G$49,MATCH(orders!$D485,products!$A$1:$A$49,0),MATCH($J$1,products!$A$1:$G$1,0))</f>
        <v>D</v>
      </c>
      <c r="K485" s="1">
        <f>INDEX(products!$A$1:$G$49,MATCH(orders!$D485,products!$A$1:$A$49,0),MATCH($K$1,products!$A$1:$G$1,0))</f>
        <v>2.5</v>
      </c>
      <c r="L485">
        <f>INDEX(products!$A$1:$G$49,MATCH(orders!$D485,products!$A$1:$A$49,0),MATCH($L$1,products!$A$1:$G$1,0))</f>
        <v>29.784999999999997</v>
      </c>
      <c r="M485">
        <f t="shared" si="22"/>
        <v>59.569999999999993</v>
      </c>
      <c r="N485" t="str">
        <f t="shared" si="23"/>
        <v>Liberica</v>
      </c>
      <c r="O485" t="str">
        <f t="shared" si="24"/>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_xlfn.XLOOKUP(C486,customers!$A$2:$A$1001,customers!$B$2:$B$1001,0)</f>
        <v>Keefer Cake</v>
      </c>
      <c r="G486" s="2" t="str">
        <f>_xlfn.XLOOKUP(C486,customers!$A$2:$A$1001,customers!$C$2:$C$1001,0)</f>
        <v>kcakedg@huffingtonpost.com</v>
      </c>
      <c r="H486" s="2" t="str">
        <f>_xlfn.XLOOKUP(orders!C486,customers!$A$2:$A$1001,customers!$G$2:$G$1001,0)</f>
        <v>United States</v>
      </c>
      <c r="I486" t="str">
        <f>INDEX(products!$A$1:$G$49,MATCH(orders!$D486,products!$A$1:$A$49,0),MATCH($I$1,products!$A$1:$G$1,0))</f>
        <v>Lib</v>
      </c>
      <c r="J486" t="str">
        <f>INDEX(products!$A$1:$G$49,MATCH(orders!$D486,products!$A$1:$A$49,0),MATCH($J$1,products!$A$1:$G$1,0))</f>
        <v>L</v>
      </c>
      <c r="K486" s="1">
        <f>INDEX(products!$A$1:$G$49,MATCH(orders!$D486,products!$A$1:$A$49,0),MATCH($K$1,products!$A$1:$G$1,0))</f>
        <v>0.5</v>
      </c>
      <c r="L486">
        <f>INDEX(products!$A$1:$G$49,MATCH(orders!$D486,products!$A$1:$A$49,0),MATCH($L$1,products!$A$1:$G$1,0))</f>
        <v>9.51</v>
      </c>
      <c r="M486">
        <f t="shared" si="22"/>
        <v>57.06</v>
      </c>
      <c r="N486" t="str">
        <f t="shared" si="23"/>
        <v>Liberica</v>
      </c>
      <c r="O486" t="str">
        <f t="shared" si="24"/>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_xlfn.XLOOKUP(C487,customers!$A$2:$A$1001,customers!$B$2:$B$1001,0)</f>
        <v>Morna Hansed</v>
      </c>
      <c r="G487" s="2" t="str">
        <f>_xlfn.XLOOKUP(C487,customers!$A$2:$A$1001,customers!$C$2:$C$1001,0)</f>
        <v>mhanseddh@instagram.com</v>
      </c>
      <c r="H487" s="2" t="str">
        <f>_xlfn.XLOOKUP(orders!C487,customers!$A$2:$A$1001,customers!$G$2:$G$1001,0)</f>
        <v>Ireland</v>
      </c>
      <c r="I487" t="str">
        <f>INDEX(products!$A$1:$G$49,MATCH(orders!$D487,products!$A$1:$A$49,0),MATCH($I$1,products!$A$1:$G$1,0))</f>
        <v>Rob</v>
      </c>
      <c r="J487" t="str">
        <f>INDEX(products!$A$1:$G$49,MATCH(orders!$D487,products!$A$1:$A$49,0),MATCH($J$1,products!$A$1:$G$1,0))</f>
        <v>L</v>
      </c>
      <c r="K487" s="1">
        <f>INDEX(products!$A$1:$G$49,MATCH(orders!$D487,products!$A$1:$A$49,0),MATCH($K$1,products!$A$1:$G$1,0))</f>
        <v>0.2</v>
      </c>
      <c r="L487">
        <f>INDEX(products!$A$1:$G$49,MATCH(orders!$D487,products!$A$1:$A$49,0),MATCH($L$1,products!$A$1:$G$1,0))</f>
        <v>3.5849999999999995</v>
      </c>
      <c r="M487">
        <f t="shared" si="22"/>
        <v>21.509999999999998</v>
      </c>
      <c r="N487" t="str">
        <f t="shared" si="23"/>
        <v>Robusta</v>
      </c>
      <c r="O487" t="str">
        <f t="shared" si="24"/>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_xlfn.XLOOKUP(C488,customers!$A$2:$A$1001,customers!$B$2:$B$1001,0)</f>
        <v>Franny Kienlein</v>
      </c>
      <c r="G488" s="2" t="str">
        <f>_xlfn.XLOOKUP(C488,customers!$A$2:$A$1001,customers!$C$2:$C$1001,0)</f>
        <v>fkienleindi@trellian.com</v>
      </c>
      <c r="H488" s="2" t="str">
        <f>_xlfn.XLOOKUP(orders!C488,customers!$A$2:$A$1001,customers!$G$2:$G$1001,0)</f>
        <v>Ireland</v>
      </c>
      <c r="I488" t="str">
        <f>INDEX(products!$A$1:$G$49,MATCH(orders!$D488,products!$A$1:$A$49,0),MATCH($I$1,products!$A$1:$G$1,0))</f>
        <v>Lib</v>
      </c>
      <c r="J488" t="str">
        <f>INDEX(products!$A$1:$G$49,MATCH(orders!$D488,products!$A$1:$A$49,0),MATCH($J$1,products!$A$1:$G$1,0))</f>
        <v>M</v>
      </c>
      <c r="K488" s="1">
        <f>INDEX(products!$A$1:$G$49,MATCH(orders!$D488,products!$A$1:$A$49,0),MATCH($K$1,products!$A$1:$G$1,0))</f>
        <v>0.5</v>
      </c>
      <c r="L488">
        <f>INDEX(products!$A$1:$G$49,MATCH(orders!$D488,products!$A$1:$A$49,0),MATCH($L$1,products!$A$1:$G$1,0))</f>
        <v>8.73</v>
      </c>
      <c r="M488">
        <f t="shared" si="22"/>
        <v>52.38</v>
      </c>
      <c r="N488" t="str">
        <f t="shared" si="23"/>
        <v>Liberica</v>
      </c>
      <c r="O488" t="str">
        <f t="shared" si="24"/>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_xlfn.XLOOKUP(C489,customers!$A$2:$A$1001,customers!$B$2:$B$1001,0)</f>
        <v>Klarika Egglestone</v>
      </c>
      <c r="G489" s="2" t="str">
        <f>_xlfn.XLOOKUP(C489,customers!$A$2:$A$1001,customers!$C$2:$C$1001,0)</f>
        <v>kegglestonedj@sphinn.com</v>
      </c>
      <c r="H489" s="2" t="str">
        <f>_xlfn.XLOOKUP(orders!C489,customers!$A$2:$A$1001,customers!$G$2:$G$1001,0)</f>
        <v>Ireland</v>
      </c>
      <c r="I489" t="str">
        <f>INDEX(products!$A$1:$G$49,MATCH(orders!$D489,products!$A$1:$A$49,0),MATCH($I$1,products!$A$1:$G$1,0))</f>
        <v>Exc</v>
      </c>
      <c r="J489" t="str">
        <f>INDEX(products!$A$1:$G$49,MATCH(orders!$D489,products!$A$1:$A$49,0),MATCH($J$1,products!$A$1:$G$1,0))</f>
        <v>D</v>
      </c>
      <c r="K489" s="1">
        <f>INDEX(products!$A$1:$G$49,MATCH(orders!$D489,products!$A$1:$A$49,0),MATCH($K$1,products!$A$1:$G$1,0))</f>
        <v>1</v>
      </c>
      <c r="L489">
        <f>INDEX(products!$A$1:$G$49,MATCH(orders!$D489,products!$A$1:$A$49,0),MATCH($L$1,products!$A$1:$G$1,0))</f>
        <v>12.15</v>
      </c>
      <c r="M489">
        <f t="shared" si="22"/>
        <v>72.900000000000006</v>
      </c>
      <c r="N489" t="str">
        <f t="shared" si="23"/>
        <v>Excelsa</v>
      </c>
      <c r="O489" t="str">
        <f t="shared" si="24"/>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_xlfn.XLOOKUP(C490,customers!$A$2:$A$1001,customers!$B$2:$B$1001,0)</f>
        <v>Becky Semkins</v>
      </c>
      <c r="G490" s="2" t="str">
        <f>_xlfn.XLOOKUP(C490,customers!$A$2:$A$1001,customers!$C$2:$C$1001,0)</f>
        <v>bsemkinsdk@unc.edu</v>
      </c>
      <c r="H490" s="2" t="str">
        <f>_xlfn.XLOOKUP(orders!C490,customers!$A$2:$A$1001,customers!$G$2:$G$1001,0)</f>
        <v>Ireland</v>
      </c>
      <c r="I490" t="str">
        <f>INDEX(products!$A$1:$G$49,MATCH(orders!$D490,products!$A$1:$A$49,0),MATCH($I$1,products!$A$1:$G$1,0))</f>
        <v>Rob</v>
      </c>
      <c r="J490" t="str">
        <f>INDEX(products!$A$1:$G$49,MATCH(orders!$D490,products!$A$1:$A$49,0),MATCH($J$1,products!$A$1:$G$1,0))</f>
        <v>M</v>
      </c>
      <c r="K490" s="1">
        <f>INDEX(products!$A$1:$G$49,MATCH(orders!$D490,products!$A$1:$A$49,0),MATCH($K$1,products!$A$1:$G$1,0))</f>
        <v>0.2</v>
      </c>
      <c r="L490">
        <f>INDEX(products!$A$1:$G$49,MATCH(orders!$D490,products!$A$1:$A$49,0),MATCH($L$1,products!$A$1:$G$1,0))</f>
        <v>2.9849999999999999</v>
      </c>
      <c r="M490">
        <f t="shared" si="22"/>
        <v>14.924999999999999</v>
      </c>
      <c r="N490" t="str">
        <f t="shared" si="23"/>
        <v>Robusta</v>
      </c>
      <c r="O490" t="str">
        <f t="shared" si="24"/>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_xlfn.XLOOKUP(C491,customers!$A$2:$A$1001,customers!$B$2:$B$1001,0)</f>
        <v>Sean Lorenzetti</v>
      </c>
      <c r="G491" s="2" t="str">
        <f>_xlfn.XLOOKUP(C491,customers!$A$2:$A$1001,customers!$C$2:$C$1001,0)</f>
        <v>slorenzettidl@is.gd</v>
      </c>
      <c r="H491" s="2" t="str">
        <f>_xlfn.XLOOKUP(orders!C491,customers!$A$2:$A$1001,customers!$G$2:$G$1001,0)</f>
        <v>United States</v>
      </c>
      <c r="I491" t="str">
        <f>INDEX(products!$A$1:$G$49,MATCH(orders!$D491,products!$A$1:$A$49,0),MATCH($I$1,products!$A$1:$G$1,0))</f>
        <v>Lib</v>
      </c>
      <c r="J491" t="str">
        <f>INDEX(products!$A$1:$G$49,MATCH(orders!$D491,products!$A$1:$A$49,0),MATCH($J$1,products!$A$1:$G$1,0))</f>
        <v>L</v>
      </c>
      <c r="K491" s="1">
        <f>INDEX(products!$A$1:$G$49,MATCH(orders!$D491,products!$A$1:$A$49,0),MATCH($K$1,products!$A$1:$G$1,0))</f>
        <v>1</v>
      </c>
      <c r="L491">
        <f>INDEX(products!$A$1:$G$49,MATCH(orders!$D491,products!$A$1:$A$49,0),MATCH($L$1,products!$A$1:$G$1,0))</f>
        <v>15.85</v>
      </c>
      <c r="M491">
        <f t="shared" si="22"/>
        <v>95.1</v>
      </c>
      <c r="N491" t="str">
        <f t="shared" si="23"/>
        <v>Liberica</v>
      </c>
      <c r="O491" t="str">
        <f t="shared" si="24"/>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_xlfn.XLOOKUP(C492,customers!$A$2:$A$1001,customers!$B$2:$B$1001,0)</f>
        <v>Bob Giannazzi</v>
      </c>
      <c r="G492" s="2" t="str">
        <f>_xlfn.XLOOKUP(C492,customers!$A$2:$A$1001,customers!$C$2:$C$1001,0)</f>
        <v>bgiannazzidm@apple.com</v>
      </c>
      <c r="H492" s="2" t="str">
        <f>_xlfn.XLOOKUP(orders!C492,customers!$A$2:$A$1001,customers!$G$2:$G$1001,0)</f>
        <v>United States</v>
      </c>
      <c r="I492" t="str">
        <f>INDEX(products!$A$1:$G$49,MATCH(orders!$D492,products!$A$1:$A$49,0),MATCH($I$1,products!$A$1:$G$1,0))</f>
        <v>Lib</v>
      </c>
      <c r="J492" t="str">
        <f>INDEX(products!$A$1:$G$49,MATCH(orders!$D492,products!$A$1:$A$49,0),MATCH($J$1,products!$A$1:$G$1,0))</f>
        <v>D</v>
      </c>
      <c r="K492" s="1">
        <f>INDEX(products!$A$1:$G$49,MATCH(orders!$D492,products!$A$1:$A$49,0),MATCH($K$1,products!$A$1:$G$1,0))</f>
        <v>0.5</v>
      </c>
      <c r="L492">
        <f>INDEX(products!$A$1:$G$49,MATCH(orders!$D492,products!$A$1:$A$49,0),MATCH($L$1,products!$A$1:$G$1,0))</f>
        <v>7.77</v>
      </c>
      <c r="M492">
        <f t="shared" si="22"/>
        <v>15.54</v>
      </c>
      <c r="N492" t="str">
        <f t="shared" si="23"/>
        <v>Liberica</v>
      </c>
      <c r="O492" t="str">
        <f t="shared" si="24"/>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_xlfn.XLOOKUP(C493,customers!$A$2:$A$1001,customers!$B$2:$B$1001,0)</f>
        <v>Kendra Backshell</v>
      </c>
      <c r="G493" s="2">
        <f>_xlfn.XLOOKUP(C493,customers!$A$2:$A$1001,customers!$C$2:$C$1001,0)</f>
        <v>0</v>
      </c>
      <c r="H493" s="2" t="str">
        <f>_xlfn.XLOOKUP(orders!C493,customers!$A$2:$A$1001,customers!$G$2:$G$1001,0)</f>
        <v>United States</v>
      </c>
      <c r="I493" t="str">
        <f>INDEX(products!$A$1:$G$49,MATCH(orders!$D493,products!$A$1:$A$49,0),MATCH($I$1,products!$A$1:$G$1,0))</f>
        <v>Lib</v>
      </c>
      <c r="J493" t="str">
        <f>INDEX(products!$A$1:$G$49,MATCH(orders!$D493,products!$A$1:$A$49,0),MATCH($J$1,products!$A$1:$G$1,0))</f>
        <v>D</v>
      </c>
      <c r="K493" s="1">
        <f>INDEX(products!$A$1:$G$49,MATCH(orders!$D493,products!$A$1:$A$49,0),MATCH($K$1,products!$A$1:$G$1,0))</f>
        <v>0.2</v>
      </c>
      <c r="L493">
        <f>INDEX(products!$A$1:$G$49,MATCH(orders!$D493,products!$A$1:$A$49,0),MATCH($L$1,products!$A$1:$G$1,0))</f>
        <v>3.8849999999999998</v>
      </c>
      <c r="M493">
        <f t="shared" si="22"/>
        <v>23.31</v>
      </c>
      <c r="N493" t="str">
        <f t="shared" si="23"/>
        <v>Liberica</v>
      </c>
      <c r="O493" t="str">
        <f t="shared" si="24"/>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_xlfn.XLOOKUP(C494,customers!$A$2:$A$1001,customers!$B$2:$B$1001,0)</f>
        <v>Uriah Lethbrig</v>
      </c>
      <c r="G494" s="2" t="str">
        <f>_xlfn.XLOOKUP(C494,customers!$A$2:$A$1001,customers!$C$2:$C$1001,0)</f>
        <v>ulethbrigdo@hc360.com</v>
      </c>
      <c r="H494" s="2" t="str">
        <f>_xlfn.XLOOKUP(orders!C494,customers!$A$2:$A$1001,customers!$G$2:$G$1001,0)</f>
        <v>United States</v>
      </c>
      <c r="I494" t="str">
        <f>INDEX(products!$A$1:$G$49,MATCH(orders!$D494,products!$A$1:$A$49,0),MATCH($I$1,products!$A$1:$G$1,0))</f>
        <v>Exc</v>
      </c>
      <c r="J494" t="str">
        <f>INDEX(products!$A$1:$G$49,MATCH(orders!$D494,products!$A$1:$A$49,0),MATCH($J$1,products!$A$1:$G$1,0))</f>
        <v>M</v>
      </c>
      <c r="K494" s="1">
        <f>INDEX(products!$A$1:$G$49,MATCH(orders!$D494,products!$A$1:$A$49,0),MATCH($K$1,products!$A$1:$G$1,0))</f>
        <v>0.2</v>
      </c>
      <c r="L494">
        <f>INDEX(products!$A$1:$G$49,MATCH(orders!$D494,products!$A$1:$A$49,0),MATCH($L$1,products!$A$1:$G$1,0))</f>
        <v>4.125</v>
      </c>
      <c r="M494">
        <f t="shared" si="22"/>
        <v>4.125</v>
      </c>
      <c r="N494" t="str">
        <f t="shared" si="23"/>
        <v>Excelsa</v>
      </c>
      <c r="O494" t="str">
        <f t="shared" si="24"/>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_xlfn.XLOOKUP(C495,customers!$A$2:$A$1001,customers!$B$2:$B$1001,0)</f>
        <v>Sky Farnish</v>
      </c>
      <c r="G495" s="2" t="str">
        <f>_xlfn.XLOOKUP(C495,customers!$A$2:$A$1001,customers!$C$2:$C$1001,0)</f>
        <v>sfarnishdp@dmoz.org</v>
      </c>
      <c r="H495" s="2" t="str">
        <f>_xlfn.XLOOKUP(orders!C495,customers!$A$2:$A$1001,customers!$G$2:$G$1001,0)</f>
        <v>United Kingdom</v>
      </c>
      <c r="I495" t="str">
        <f>INDEX(products!$A$1:$G$49,MATCH(orders!$D495,products!$A$1:$A$49,0),MATCH($I$1,products!$A$1:$G$1,0))</f>
        <v>Rob</v>
      </c>
      <c r="J495" t="str">
        <f>INDEX(products!$A$1:$G$49,MATCH(orders!$D495,products!$A$1:$A$49,0),MATCH($J$1,products!$A$1:$G$1,0))</f>
        <v>M</v>
      </c>
      <c r="K495" s="1">
        <f>INDEX(products!$A$1:$G$49,MATCH(orders!$D495,products!$A$1:$A$49,0),MATCH($K$1,products!$A$1:$G$1,0))</f>
        <v>0.5</v>
      </c>
      <c r="L495">
        <f>INDEX(products!$A$1:$G$49,MATCH(orders!$D495,products!$A$1:$A$49,0),MATCH($L$1,products!$A$1:$G$1,0))</f>
        <v>5.97</v>
      </c>
      <c r="M495">
        <f t="shared" si="22"/>
        <v>35.82</v>
      </c>
      <c r="N495" t="str">
        <f t="shared" si="23"/>
        <v>Robusta</v>
      </c>
      <c r="O495" t="str">
        <f t="shared" si="24"/>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_xlfn.XLOOKUP(C496,customers!$A$2:$A$1001,customers!$B$2:$B$1001,0)</f>
        <v>Felicia Jecock</v>
      </c>
      <c r="G496" s="2" t="str">
        <f>_xlfn.XLOOKUP(C496,customers!$A$2:$A$1001,customers!$C$2:$C$1001,0)</f>
        <v>fjecockdq@unicef.org</v>
      </c>
      <c r="H496" s="2" t="str">
        <f>_xlfn.XLOOKUP(orders!C496,customers!$A$2:$A$1001,customers!$G$2:$G$1001,0)</f>
        <v>United States</v>
      </c>
      <c r="I496" t="str">
        <f>INDEX(products!$A$1:$G$49,MATCH(orders!$D496,products!$A$1:$A$49,0),MATCH($I$1,products!$A$1:$G$1,0))</f>
        <v>Lib</v>
      </c>
      <c r="J496" t="str">
        <f>INDEX(products!$A$1:$G$49,MATCH(orders!$D496,products!$A$1:$A$49,0),MATCH($J$1,products!$A$1:$G$1,0))</f>
        <v>L</v>
      </c>
      <c r="K496" s="1">
        <f>INDEX(products!$A$1:$G$49,MATCH(orders!$D496,products!$A$1:$A$49,0),MATCH($K$1,products!$A$1:$G$1,0))</f>
        <v>1</v>
      </c>
      <c r="L496">
        <f>INDEX(products!$A$1:$G$49,MATCH(orders!$D496,products!$A$1:$A$49,0),MATCH($L$1,products!$A$1:$G$1,0))</f>
        <v>15.85</v>
      </c>
      <c r="M496">
        <f t="shared" si="22"/>
        <v>31.7</v>
      </c>
      <c r="N496" t="str">
        <f t="shared" si="23"/>
        <v>Liberica</v>
      </c>
      <c r="O496" t="str">
        <f t="shared" si="24"/>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_xlfn.XLOOKUP(C497,customers!$A$2:$A$1001,customers!$B$2:$B$1001,0)</f>
        <v>Currey MacAllister</v>
      </c>
      <c r="G497" s="2">
        <f>_xlfn.XLOOKUP(C497,customers!$A$2:$A$1001,customers!$C$2:$C$1001,0)</f>
        <v>0</v>
      </c>
      <c r="H497" s="2" t="str">
        <f>_xlfn.XLOOKUP(orders!C497,customers!$A$2:$A$1001,customers!$G$2:$G$1001,0)</f>
        <v>United States</v>
      </c>
      <c r="I497" t="str">
        <f>INDEX(products!$A$1:$G$49,MATCH(orders!$D497,products!$A$1:$A$49,0),MATCH($I$1,products!$A$1:$G$1,0))</f>
        <v>Lib</v>
      </c>
      <c r="J497" t="str">
        <f>INDEX(products!$A$1:$G$49,MATCH(orders!$D497,products!$A$1:$A$49,0),MATCH($J$1,products!$A$1:$G$1,0))</f>
        <v>L</v>
      </c>
      <c r="K497" s="1">
        <f>INDEX(products!$A$1:$G$49,MATCH(orders!$D497,products!$A$1:$A$49,0),MATCH($K$1,products!$A$1:$G$1,0))</f>
        <v>1</v>
      </c>
      <c r="L497">
        <f>INDEX(products!$A$1:$G$49,MATCH(orders!$D497,products!$A$1:$A$49,0),MATCH($L$1,products!$A$1:$G$1,0))</f>
        <v>15.85</v>
      </c>
      <c r="M497">
        <f t="shared" si="22"/>
        <v>79.25</v>
      </c>
      <c r="N497" t="str">
        <f t="shared" si="23"/>
        <v>Liberica</v>
      </c>
      <c r="O497" t="str">
        <f t="shared" si="24"/>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_xlfn.XLOOKUP(C498,customers!$A$2:$A$1001,customers!$B$2:$B$1001,0)</f>
        <v>Hamlen Pallister</v>
      </c>
      <c r="G498" s="2" t="str">
        <f>_xlfn.XLOOKUP(C498,customers!$A$2:$A$1001,customers!$C$2:$C$1001,0)</f>
        <v>hpallisterds@ning.com</v>
      </c>
      <c r="H498" s="2" t="str">
        <f>_xlfn.XLOOKUP(orders!C498,customers!$A$2:$A$1001,customers!$G$2:$G$1001,0)</f>
        <v>United States</v>
      </c>
      <c r="I498" t="str">
        <f>INDEX(products!$A$1:$G$49,MATCH(orders!$D498,products!$A$1:$A$49,0),MATCH($I$1,products!$A$1:$G$1,0))</f>
        <v>Exc</v>
      </c>
      <c r="J498" t="str">
        <f>INDEX(products!$A$1:$G$49,MATCH(orders!$D498,products!$A$1:$A$49,0),MATCH($J$1,products!$A$1:$G$1,0))</f>
        <v>D</v>
      </c>
      <c r="K498" s="1">
        <f>INDEX(products!$A$1:$G$49,MATCH(orders!$D498,products!$A$1:$A$49,0),MATCH($K$1,products!$A$1:$G$1,0))</f>
        <v>0.2</v>
      </c>
      <c r="L498">
        <f>INDEX(products!$A$1:$G$49,MATCH(orders!$D498,products!$A$1:$A$49,0),MATCH($L$1,products!$A$1:$G$1,0))</f>
        <v>3.645</v>
      </c>
      <c r="M498">
        <f t="shared" si="22"/>
        <v>10.935</v>
      </c>
      <c r="N498" t="str">
        <f t="shared" si="23"/>
        <v>Excelsa</v>
      </c>
      <c r="O498" t="str">
        <f t="shared" si="24"/>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_xlfn.XLOOKUP(C499,customers!$A$2:$A$1001,customers!$B$2:$B$1001,0)</f>
        <v>Chantal Mersh</v>
      </c>
      <c r="G499" s="2" t="str">
        <f>_xlfn.XLOOKUP(C499,customers!$A$2:$A$1001,customers!$C$2:$C$1001,0)</f>
        <v>cmershdt@drupal.org</v>
      </c>
      <c r="H499" s="2" t="str">
        <f>_xlfn.XLOOKUP(orders!C499,customers!$A$2:$A$1001,customers!$G$2:$G$1001,0)</f>
        <v>Ireland</v>
      </c>
      <c r="I499" t="str">
        <f>INDEX(products!$A$1:$G$49,MATCH(orders!$D499,products!$A$1:$A$49,0),MATCH($I$1,products!$A$1:$G$1,0))</f>
        <v>Ara</v>
      </c>
      <c r="J499" t="str">
        <f>INDEX(products!$A$1:$G$49,MATCH(orders!$D499,products!$A$1:$A$49,0),MATCH($J$1,products!$A$1:$G$1,0))</f>
        <v>D</v>
      </c>
      <c r="K499" s="1">
        <f>INDEX(products!$A$1:$G$49,MATCH(orders!$D499,products!$A$1:$A$49,0),MATCH($K$1,products!$A$1:$G$1,0))</f>
        <v>1</v>
      </c>
      <c r="L499">
        <f>INDEX(products!$A$1:$G$49,MATCH(orders!$D499,products!$A$1:$A$49,0),MATCH($L$1,products!$A$1:$G$1,0))</f>
        <v>9.9499999999999993</v>
      </c>
      <c r="M499">
        <f t="shared" si="22"/>
        <v>39.799999999999997</v>
      </c>
      <c r="N499" t="str">
        <f t="shared" si="23"/>
        <v>Arabica</v>
      </c>
      <c r="O499" t="str">
        <f t="shared" si="24"/>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_xlfn.XLOOKUP(C500,customers!$A$2:$A$1001,customers!$B$2:$B$1001,0)</f>
        <v>Marja Urion</v>
      </c>
      <c r="G500" s="2" t="str">
        <f>_xlfn.XLOOKUP(C500,customers!$A$2:$A$1001,customers!$C$2:$C$1001,0)</f>
        <v>murione5@alexa.com</v>
      </c>
      <c r="H500" s="2" t="str">
        <f>_xlfn.XLOOKUP(orders!C500,customers!$A$2:$A$1001,customers!$G$2:$G$1001,0)</f>
        <v>Ireland</v>
      </c>
      <c r="I500" t="str">
        <f>INDEX(products!$A$1:$G$49,MATCH(orders!$D500,products!$A$1:$A$49,0),MATCH($I$1,products!$A$1:$G$1,0))</f>
        <v>Rob</v>
      </c>
      <c r="J500" t="str">
        <f>INDEX(products!$A$1:$G$49,MATCH(orders!$D500,products!$A$1:$A$49,0),MATCH($J$1,products!$A$1:$G$1,0))</f>
        <v>M</v>
      </c>
      <c r="K500" s="1">
        <f>INDEX(products!$A$1:$G$49,MATCH(orders!$D500,products!$A$1:$A$49,0),MATCH($K$1,products!$A$1:$G$1,0))</f>
        <v>1</v>
      </c>
      <c r="L500">
        <f>INDEX(products!$A$1:$G$49,MATCH(orders!$D500,products!$A$1:$A$49,0),MATCH($L$1,products!$A$1:$G$1,0))</f>
        <v>9.9499999999999993</v>
      </c>
      <c r="M500">
        <f t="shared" si="22"/>
        <v>49.75</v>
      </c>
      <c r="N500" t="str">
        <f t="shared" si="23"/>
        <v>Robusta</v>
      </c>
      <c r="O500" t="str">
        <f t="shared" si="24"/>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_xlfn.XLOOKUP(C501,customers!$A$2:$A$1001,customers!$B$2:$B$1001,0)</f>
        <v>Malynda Purbrick</v>
      </c>
      <c r="G501" s="2">
        <f>_xlfn.XLOOKUP(C501,customers!$A$2:$A$1001,customers!$C$2:$C$1001,0)</f>
        <v>0</v>
      </c>
      <c r="H501" s="2" t="str">
        <f>_xlfn.XLOOKUP(orders!C501,customers!$A$2:$A$1001,customers!$G$2:$G$1001,0)</f>
        <v>Ireland</v>
      </c>
      <c r="I501" t="str">
        <f>INDEX(products!$A$1:$G$49,MATCH(orders!$D501,products!$A$1:$A$49,0),MATCH($I$1,products!$A$1:$G$1,0))</f>
        <v>Rob</v>
      </c>
      <c r="J501" t="str">
        <f>INDEX(products!$A$1:$G$49,MATCH(orders!$D501,products!$A$1:$A$49,0),MATCH($J$1,products!$A$1:$G$1,0))</f>
        <v>D</v>
      </c>
      <c r="K501" s="1">
        <f>INDEX(products!$A$1:$G$49,MATCH(orders!$D501,products!$A$1:$A$49,0),MATCH($K$1,products!$A$1:$G$1,0))</f>
        <v>0.2</v>
      </c>
      <c r="L501">
        <f>INDEX(products!$A$1:$G$49,MATCH(orders!$D501,products!$A$1:$A$49,0),MATCH($L$1,products!$A$1:$G$1,0))</f>
        <v>2.6849999999999996</v>
      </c>
      <c r="M501">
        <f t="shared" si="22"/>
        <v>8.0549999999999997</v>
      </c>
      <c r="N501" t="str">
        <f t="shared" si="23"/>
        <v>Robusta</v>
      </c>
      <c r="O501" t="str">
        <f t="shared" si="24"/>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_xlfn.XLOOKUP(C502,customers!$A$2:$A$1001,customers!$B$2:$B$1001,0)</f>
        <v>Alf Housaman</v>
      </c>
      <c r="G502" s="2">
        <f>_xlfn.XLOOKUP(C502,customers!$A$2:$A$1001,customers!$C$2:$C$1001,0)</f>
        <v>0</v>
      </c>
      <c r="H502" s="2" t="str">
        <f>_xlfn.XLOOKUP(orders!C502,customers!$A$2:$A$1001,customers!$G$2:$G$1001,0)</f>
        <v>United States</v>
      </c>
      <c r="I502" t="str">
        <f>INDEX(products!$A$1:$G$49,MATCH(orders!$D502,products!$A$1:$A$49,0),MATCH($I$1,products!$A$1:$G$1,0))</f>
        <v>Rob</v>
      </c>
      <c r="J502" t="str">
        <f>INDEX(products!$A$1:$G$49,MATCH(orders!$D502,products!$A$1:$A$49,0),MATCH($J$1,products!$A$1:$G$1,0))</f>
        <v>L</v>
      </c>
      <c r="K502" s="1">
        <f>INDEX(products!$A$1:$G$49,MATCH(orders!$D502,products!$A$1:$A$49,0),MATCH($K$1,products!$A$1:$G$1,0))</f>
        <v>1</v>
      </c>
      <c r="L502">
        <f>INDEX(products!$A$1:$G$49,MATCH(orders!$D502,products!$A$1:$A$49,0),MATCH($L$1,products!$A$1:$G$1,0))</f>
        <v>11.95</v>
      </c>
      <c r="M502">
        <f t="shared" si="22"/>
        <v>47.8</v>
      </c>
      <c r="N502" t="str">
        <f t="shared" si="23"/>
        <v>Robusta</v>
      </c>
      <c r="O502" t="str">
        <f t="shared" si="24"/>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_xlfn.XLOOKUP(C503,customers!$A$2:$A$1001,customers!$B$2:$B$1001,0)</f>
        <v>Gladi Ducker</v>
      </c>
      <c r="G503" s="2" t="str">
        <f>_xlfn.XLOOKUP(C503,customers!$A$2:$A$1001,customers!$C$2:$C$1001,0)</f>
        <v>gduckerdx@patch.com</v>
      </c>
      <c r="H503" s="2" t="str">
        <f>_xlfn.XLOOKUP(orders!C503,customers!$A$2:$A$1001,customers!$G$2:$G$1001,0)</f>
        <v>United Kingdom</v>
      </c>
      <c r="I503" t="str">
        <f>INDEX(products!$A$1:$G$49,MATCH(orders!$D503,products!$A$1:$A$49,0),MATCH($I$1,products!$A$1:$G$1,0))</f>
        <v>Rob</v>
      </c>
      <c r="J503" t="str">
        <f>INDEX(products!$A$1:$G$49,MATCH(orders!$D503,products!$A$1:$A$49,0),MATCH($J$1,products!$A$1:$G$1,0))</f>
        <v>M</v>
      </c>
      <c r="K503" s="1">
        <f>INDEX(products!$A$1:$G$49,MATCH(orders!$D503,products!$A$1:$A$49,0),MATCH($K$1,products!$A$1:$G$1,0))</f>
        <v>0.2</v>
      </c>
      <c r="L503">
        <f>INDEX(products!$A$1:$G$49,MATCH(orders!$D503,products!$A$1:$A$49,0),MATCH($L$1,products!$A$1:$G$1,0))</f>
        <v>2.9849999999999999</v>
      </c>
      <c r="M503">
        <f t="shared" si="22"/>
        <v>11.94</v>
      </c>
      <c r="N503" t="str">
        <f t="shared" si="23"/>
        <v>Robusta</v>
      </c>
      <c r="O503" t="str">
        <f t="shared" si="24"/>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_xlfn.XLOOKUP(C504,customers!$A$2:$A$1001,customers!$B$2:$B$1001,0)</f>
        <v>Gladi Ducker</v>
      </c>
      <c r="G504" s="2" t="str">
        <f>_xlfn.XLOOKUP(C504,customers!$A$2:$A$1001,customers!$C$2:$C$1001,0)</f>
        <v>gduckerdx@patch.com</v>
      </c>
      <c r="H504" s="2" t="str">
        <f>_xlfn.XLOOKUP(orders!C504,customers!$A$2:$A$1001,customers!$G$2:$G$1001,0)</f>
        <v>United Kingdom</v>
      </c>
      <c r="I504" t="str">
        <f>INDEX(products!$A$1:$G$49,MATCH(orders!$D504,products!$A$1:$A$49,0),MATCH($I$1,products!$A$1:$G$1,0))</f>
        <v>Exc</v>
      </c>
      <c r="J504" t="str">
        <f>INDEX(products!$A$1:$G$49,MATCH(orders!$D504,products!$A$1:$A$49,0),MATCH($J$1,products!$A$1:$G$1,0))</f>
        <v>M</v>
      </c>
      <c r="K504" s="1">
        <f>INDEX(products!$A$1:$G$49,MATCH(orders!$D504,products!$A$1:$A$49,0),MATCH($K$1,products!$A$1:$G$1,0))</f>
        <v>0.2</v>
      </c>
      <c r="L504">
        <f>INDEX(products!$A$1:$G$49,MATCH(orders!$D504,products!$A$1:$A$49,0),MATCH($L$1,products!$A$1:$G$1,0))</f>
        <v>4.125</v>
      </c>
      <c r="M504">
        <f t="shared" si="22"/>
        <v>16.5</v>
      </c>
      <c r="N504" t="str">
        <f t="shared" si="23"/>
        <v>Excelsa</v>
      </c>
      <c r="O504" t="str">
        <f t="shared" si="24"/>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_xlfn.XLOOKUP(C505,customers!$A$2:$A$1001,customers!$B$2:$B$1001,0)</f>
        <v>Gladi Ducker</v>
      </c>
      <c r="G505" s="2" t="str">
        <f>_xlfn.XLOOKUP(C505,customers!$A$2:$A$1001,customers!$C$2:$C$1001,0)</f>
        <v>gduckerdx@patch.com</v>
      </c>
      <c r="H505" s="2" t="str">
        <f>_xlfn.XLOOKUP(orders!C505,customers!$A$2:$A$1001,customers!$G$2:$G$1001,0)</f>
        <v>United Kingdom</v>
      </c>
      <c r="I505" t="str">
        <f>INDEX(products!$A$1:$G$49,MATCH(orders!$D505,products!$A$1:$A$49,0),MATCH($I$1,products!$A$1:$G$1,0))</f>
        <v>Lib</v>
      </c>
      <c r="J505" t="str">
        <f>INDEX(products!$A$1:$G$49,MATCH(orders!$D505,products!$A$1:$A$49,0),MATCH($J$1,products!$A$1:$G$1,0))</f>
        <v>D</v>
      </c>
      <c r="K505" s="1">
        <f>INDEX(products!$A$1:$G$49,MATCH(orders!$D505,products!$A$1:$A$49,0),MATCH($K$1,products!$A$1:$G$1,0))</f>
        <v>1</v>
      </c>
      <c r="L505">
        <f>INDEX(products!$A$1:$G$49,MATCH(orders!$D505,products!$A$1:$A$49,0),MATCH($L$1,products!$A$1:$G$1,0))</f>
        <v>12.95</v>
      </c>
      <c r="M505">
        <f t="shared" si="22"/>
        <v>51.8</v>
      </c>
      <c r="N505" t="str">
        <f t="shared" si="23"/>
        <v>Liberica</v>
      </c>
      <c r="O505" t="str">
        <f t="shared" si="24"/>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_xlfn.XLOOKUP(C506,customers!$A$2:$A$1001,customers!$B$2:$B$1001,0)</f>
        <v>Gladi Ducker</v>
      </c>
      <c r="G506" s="2" t="str">
        <f>_xlfn.XLOOKUP(C506,customers!$A$2:$A$1001,customers!$C$2:$C$1001,0)</f>
        <v>gduckerdx@patch.com</v>
      </c>
      <c r="H506" s="2" t="str">
        <f>_xlfn.XLOOKUP(orders!C506,customers!$A$2:$A$1001,customers!$G$2:$G$1001,0)</f>
        <v>United Kingdom</v>
      </c>
      <c r="I506" t="str">
        <f>INDEX(products!$A$1:$G$49,MATCH(orders!$D506,products!$A$1:$A$49,0),MATCH($I$1,products!$A$1:$G$1,0))</f>
        <v>Lib</v>
      </c>
      <c r="J506" t="str">
        <f>INDEX(products!$A$1:$G$49,MATCH(orders!$D506,products!$A$1:$A$49,0),MATCH($J$1,products!$A$1:$G$1,0))</f>
        <v>L</v>
      </c>
      <c r="K506" s="1">
        <f>INDEX(products!$A$1:$G$49,MATCH(orders!$D506,products!$A$1:$A$49,0),MATCH($K$1,products!$A$1:$G$1,0))</f>
        <v>0.2</v>
      </c>
      <c r="L506">
        <f>INDEX(products!$A$1:$G$49,MATCH(orders!$D506,products!$A$1:$A$49,0),MATCH($L$1,products!$A$1:$G$1,0))</f>
        <v>4.7549999999999999</v>
      </c>
      <c r="M506">
        <f t="shared" si="22"/>
        <v>14.265000000000001</v>
      </c>
      <c r="N506" t="str">
        <f t="shared" si="23"/>
        <v>Liberica</v>
      </c>
      <c r="O506" t="str">
        <f t="shared" si="24"/>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_xlfn.XLOOKUP(C507,customers!$A$2:$A$1001,customers!$B$2:$B$1001,0)</f>
        <v>Wain Stearley</v>
      </c>
      <c r="G507" s="2" t="str">
        <f>_xlfn.XLOOKUP(C507,customers!$A$2:$A$1001,customers!$C$2:$C$1001,0)</f>
        <v>wstearleye1@census.gov</v>
      </c>
      <c r="H507" s="2" t="str">
        <f>_xlfn.XLOOKUP(orders!C507,customers!$A$2:$A$1001,customers!$G$2:$G$1001,0)</f>
        <v>United States</v>
      </c>
      <c r="I507" t="str">
        <f>INDEX(products!$A$1:$G$49,MATCH(orders!$D507,products!$A$1:$A$49,0),MATCH($I$1,products!$A$1:$G$1,0))</f>
        <v>Lib</v>
      </c>
      <c r="J507" t="str">
        <f>INDEX(products!$A$1:$G$49,MATCH(orders!$D507,products!$A$1:$A$49,0),MATCH($J$1,products!$A$1:$G$1,0))</f>
        <v>M</v>
      </c>
      <c r="K507" s="1">
        <f>INDEX(products!$A$1:$G$49,MATCH(orders!$D507,products!$A$1:$A$49,0),MATCH($K$1,products!$A$1:$G$1,0))</f>
        <v>0.2</v>
      </c>
      <c r="L507">
        <f>INDEX(products!$A$1:$G$49,MATCH(orders!$D507,products!$A$1:$A$49,0),MATCH($L$1,products!$A$1:$G$1,0))</f>
        <v>4.3650000000000002</v>
      </c>
      <c r="M507">
        <f t="shared" si="22"/>
        <v>26.19</v>
      </c>
      <c r="N507" t="str">
        <f t="shared" si="23"/>
        <v>Liberica</v>
      </c>
      <c r="O507" t="str">
        <f t="shared" si="24"/>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_xlfn.XLOOKUP(C508,customers!$A$2:$A$1001,customers!$B$2:$B$1001,0)</f>
        <v>Diane-marie Wincer</v>
      </c>
      <c r="G508" s="2" t="str">
        <f>_xlfn.XLOOKUP(C508,customers!$A$2:$A$1001,customers!$C$2:$C$1001,0)</f>
        <v>dwincere2@marriott.com</v>
      </c>
      <c r="H508" s="2" t="str">
        <f>_xlfn.XLOOKUP(orders!C508,customers!$A$2:$A$1001,customers!$G$2:$G$1001,0)</f>
        <v>United States</v>
      </c>
      <c r="I508" t="str">
        <f>INDEX(products!$A$1:$G$49,MATCH(orders!$D508,products!$A$1:$A$49,0),MATCH($I$1,products!$A$1:$G$1,0))</f>
        <v>Ara</v>
      </c>
      <c r="J508" t="str">
        <f>INDEX(products!$A$1:$G$49,MATCH(orders!$D508,products!$A$1:$A$49,0),MATCH($J$1,products!$A$1:$G$1,0))</f>
        <v>L</v>
      </c>
      <c r="K508" s="1">
        <f>INDEX(products!$A$1:$G$49,MATCH(orders!$D508,products!$A$1:$A$49,0),MATCH($K$1,products!$A$1:$G$1,0))</f>
        <v>1</v>
      </c>
      <c r="L508">
        <f>INDEX(products!$A$1:$G$49,MATCH(orders!$D508,products!$A$1:$A$49,0),MATCH($L$1,products!$A$1:$G$1,0))</f>
        <v>12.95</v>
      </c>
      <c r="M508">
        <f t="shared" si="22"/>
        <v>25.9</v>
      </c>
      <c r="N508" t="str">
        <f t="shared" si="23"/>
        <v>Arabica</v>
      </c>
      <c r="O508" t="str">
        <f t="shared" si="24"/>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_xlfn.XLOOKUP(C509,customers!$A$2:$A$1001,customers!$B$2:$B$1001,0)</f>
        <v>Perry Lyfield</v>
      </c>
      <c r="G509" s="2" t="str">
        <f>_xlfn.XLOOKUP(C509,customers!$A$2:$A$1001,customers!$C$2:$C$1001,0)</f>
        <v>plyfielde3@baidu.com</v>
      </c>
      <c r="H509" s="2" t="str">
        <f>_xlfn.XLOOKUP(orders!C509,customers!$A$2:$A$1001,customers!$G$2:$G$1001,0)</f>
        <v>United States</v>
      </c>
      <c r="I509" t="str">
        <f>INDEX(products!$A$1:$G$49,MATCH(orders!$D509,products!$A$1:$A$49,0),MATCH($I$1,products!$A$1:$G$1,0))</f>
        <v>Ara</v>
      </c>
      <c r="J509" t="str">
        <f>INDEX(products!$A$1:$G$49,MATCH(orders!$D509,products!$A$1:$A$49,0),MATCH($J$1,products!$A$1:$G$1,0))</f>
        <v>L</v>
      </c>
      <c r="K509" s="1">
        <f>INDEX(products!$A$1:$G$49,MATCH(orders!$D509,products!$A$1:$A$49,0),MATCH($K$1,products!$A$1:$G$1,0))</f>
        <v>2.5</v>
      </c>
      <c r="L509">
        <f>INDEX(products!$A$1:$G$49,MATCH(orders!$D509,products!$A$1:$A$49,0),MATCH($L$1,products!$A$1:$G$1,0))</f>
        <v>29.784999999999997</v>
      </c>
      <c r="M509">
        <f t="shared" si="22"/>
        <v>89.35499999999999</v>
      </c>
      <c r="N509" t="str">
        <f t="shared" si="23"/>
        <v>Arabica</v>
      </c>
      <c r="O509" t="str">
        <f t="shared" si="24"/>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_xlfn.XLOOKUP(C510,customers!$A$2:$A$1001,customers!$B$2:$B$1001,0)</f>
        <v>Heall Perris</v>
      </c>
      <c r="G510" s="2" t="str">
        <f>_xlfn.XLOOKUP(C510,customers!$A$2:$A$1001,customers!$C$2:$C$1001,0)</f>
        <v>hperrise4@studiopress.com</v>
      </c>
      <c r="H510" s="2" t="str">
        <f>_xlfn.XLOOKUP(orders!C510,customers!$A$2:$A$1001,customers!$G$2:$G$1001,0)</f>
        <v>Ireland</v>
      </c>
      <c r="I510" t="str">
        <f>INDEX(products!$A$1:$G$49,MATCH(orders!$D510,products!$A$1:$A$49,0),MATCH($I$1,products!$A$1:$G$1,0))</f>
        <v>Lib</v>
      </c>
      <c r="J510" t="str">
        <f>INDEX(products!$A$1:$G$49,MATCH(orders!$D510,products!$A$1:$A$49,0),MATCH($J$1,products!$A$1:$G$1,0))</f>
        <v>D</v>
      </c>
      <c r="K510" s="1">
        <f>INDEX(products!$A$1:$G$49,MATCH(orders!$D510,products!$A$1:$A$49,0),MATCH($K$1,products!$A$1:$G$1,0))</f>
        <v>0.5</v>
      </c>
      <c r="L510">
        <f>INDEX(products!$A$1:$G$49,MATCH(orders!$D510,products!$A$1:$A$49,0),MATCH($L$1,products!$A$1:$G$1,0))</f>
        <v>7.77</v>
      </c>
      <c r="M510">
        <f t="shared" si="22"/>
        <v>46.62</v>
      </c>
      <c r="N510" t="str">
        <f t="shared" si="23"/>
        <v>Liberica</v>
      </c>
      <c r="O510" t="str">
        <f t="shared" si="24"/>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_xlfn.XLOOKUP(C511,customers!$A$2:$A$1001,customers!$B$2:$B$1001,0)</f>
        <v>Marja Urion</v>
      </c>
      <c r="G511" s="2" t="str">
        <f>_xlfn.XLOOKUP(C511,customers!$A$2:$A$1001,customers!$C$2:$C$1001,0)</f>
        <v>murione5@alexa.com</v>
      </c>
      <c r="H511" s="2" t="str">
        <f>_xlfn.XLOOKUP(orders!C511,customers!$A$2:$A$1001,customers!$G$2:$G$1001,0)</f>
        <v>Ireland</v>
      </c>
      <c r="I511" t="str">
        <f>INDEX(products!$A$1:$G$49,MATCH(orders!$D511,products!$A$1:$A$49,0),MATCH($I$1,products!$A$1:$G$1,0))</f>
        <v>Ara</v>
      </c>
      <c r="J511" t="str">
        <f>INDEX(products!$A$1:$G$49,MATCH(orders!$D511,products!$A$1:$A$49,0),MATCH($J$1,products!$A$1:$G$1,0))</f>
        <v>D</v>
      </c>
      <c r="K511" s="1">
        <f>INDEX(products!$A$1:$G$49,MATCH(orders!$D511,products!$A$1:$A$49,0),MATCH($K$1,products!$A$1:$G$1,0))</f>
        <v>1</v>
      </c>
      <c r="L511">
        <f>INDEX(products!$A$1:$G$49,MATCH(orders!$D511,products!$A$1:$A$49,0),MATCH($L$1,products!$A$1:$G$1,0))</f>
        <v>9.9499999999999993</v>
      </c>
      <c r="M511">
        <f t="shared" si="22"/>
        <v>29.849999999999998</v>
      </c>
      <c r="N511" t="str">
        <f t="shared" si="23"/>
        <v>Arabica</v>
      </c>
      <c r="O511" t="str">
        <f t="shared" si="24"/>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_xlfn.XLOOKUP(C512,customers!$A$2:$A$1001,customers!$B$2:$B$1001,0)</f>
        <v>Camellia Kid</v>
      </c>
      <c r="G512" s="2" t="str">
        <f>_xlfn.XLOOKUP(C512,customers!$A$2:$A$1001,customers!$C$2:$C$1001,0)</f>
        <v>ckide6@narod.ru</v>
      </c>
      <c r="H512" s="2" t="str">
        <f>_xlfn.XLOOKUP(orders!C512,customers!$A$2:$A$1001,customers!$G$2:$G$1001,0)</f>
        <v>Ireland</v>
      </c>
      <c r="I512" t="str">
        <f>INDEX(products!$A$1:$G$49,MATCH(orders!$D512,products!$A$1:$A$49,0),MATCH($I$1,products!$A$1:$G$1,0))</f>
        <v>Rob</v>
      </c>
      <c r="J512" t="str">
        <f>INDEX(products!$A$1:$G$49,MATCH(orders!$D512,products!$A$1:$A$49,0),MATCH($J$1,products!$A$1:$G$1,0))</f>
        <v>L</v>
      </c>
      <c r="K512" s="1">
        <f>INDEX(products!$A$1:$G$49,MATCH(orders!$D512,products!$A$1:$A$49,0),MATCH($K$1,products!$A$1:$G$1,0))</f>
        <v>0.2</v>
      </c>
      <c r="L512">
        <f>INDEX(products!$A$1:$G$49,MATCH(orders!$D512,products!$A$1:$A$49,0),MATCH($L$1,products!$A$1:$G$1,0))</f>
        <v>3.5849999999999995</v>
      </c>
      <c r="M512">
        <f t="shared" si="22"/>
        <v>10.754999999999999</v>
      </c>
      <c r="N512" t="str">
        <f t="shared" si="23"/>
        <v>Robusta</v>
      </c>
      <c r="O512" t="str">
        <f t="shared" si="24"/>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_xlfn.XLOOKUP(C513,customers!$A$2:$A$1001,customers!$B$2:$B$1001,0)</f>
        <v>Carolann Beine</v>
      </c>
      <c r="G513" s="2" t="str">
        <f>_xlfn.XLOOKUP(C513,customers!$A$2:$A$1001,customers!$C$2:$C$1001,0)</f>
        <v>cbeinee7@xinhuanet.com</v>
      </c>
      <c r="H513" s="2" t="str">
        <f>_xlfn.XLOOKUP(orders!C513,customers!$A$2:$A$1001,customers!$G$2:$G$1001,0)</f>
        <v>United States</v>
      </c>
      <c r="I513" t="str">
        <f>INDEX(products!$A$1:$G$49,MATCH(orders!$D513,products!$A$1:$A$49,0),MATCH($I$1,products!$A$1:$G$1,0))</f>
        <v>Ara</v>
      </c>
      <c r="J513" t="str">
        <f>INDEX(products!$A$1:$G$49,MATCH(orders!$D513,products!$A$1:$A$49,0),MATCH($J$1,products!$A$1:$G$1,0))</f>
        <v>M</v>
      </c>
      <c r="K513" s="1">
        <f>INDEX(products!$A$1:$G$49,MATCH(orders!$D513,products!$A$1:$A$49,0),MATCH($K$1,products!$A$1:$G$1,0))</f>
        <v>0.2</v>
      </c>
      <c r="L513">
        <f>INDEX(products!$A$1:$G$49,MATCH(orders!$D513,products!$A$1:$A$49,0),MATCH($L$1,products!$A$1:$G$1,0))</f>
        <v>3.375</v>
      </c>
      <c r="M513">
        <f t="shared" si="22"/>
        <v>13.5</v>
      </c>
      <c r="N513" t="str">
        <f t="shared" si="23"/>
        <v>Arabica</v>
      </c>
      <c r="O513" t="str">
        <f t="shared" si="24"/>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_xlfn.XLOOKUP(C514,customers!$A$2:$A$1001,customers!$B$2:$B$1001,0)</f>
        <v>Celia Bakeup</v>
      </c>
      <c r="G514" s="2" t="str">
        <f>_xlfn.XLOOKUP(C514,customers!$A$2:$A$1001,customers!$C$2:$C$1001,0)</f>
        <v>cbakeupe8@globo.com</v>
      </c>
      <c r="H514" s="2" t="str">
        <f>_xlfn.XLOOKUP(orders!C514,customers!$A$2:$A$1001,customers!$G$2:$G$1001,0)</f>
        <v>United States</v>
      </c>
      <c r="I514" t="str">
        <f>INDEX(products!$A$1:$G$49,MATCH(orders!$D514,products!$A$1:$A$49,0),MATCH($I$1,products!$A$1:$G$1,0))</f>
        <v>Lib</v>
      </c>
      <c r="J514" t="str">
        <f>INDEX(products!$A$1:$G$49,MATCH(orders!$D514,products!$A$1:$A$49,0),MATCH($J$1,products!$A$1:$G$1,0))</f>
        <v>L</v>
      </c>
      <c r="K514" s="1">
        <f>INDEX(products!$A$1:$G$49,MATCH(orders!$D514,products!$A$1:$A$49,0),MATCH($K$1,products!$A$1:$G$1,0))</f>
        <v>1</v>
      </c>
      <c r="L514">
        <f>INDEX(products!$A$1:$G$49,MATCH(orders!$D514,products!$A$1:$A$49,0),MATCH($L$1,products!$A$1:$G$1,0))</f>
        <v>15.85</v>
      </c>
      <c r="M514">
        <f t="shared" si="22"/>
        <v>47.55</v>
      </c>
      <c r="N514" t="str">
        <f t="shared" si="23"/>
        <v>Liberica</v>
      </c>
      <c r="O514" t="str">
        <f t="shared" si="24"/>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_xlfn.XLOOKUP(C515,customers!$A$2:$A$1001,customers!$B$2:$B$1001,0)</f>
        <v>Nataniel Helkin</v>
      </c>
      <c r="G515" s="2" t="str">
        <f>_xlfn.XLOOKUP(C515,customers!$A$2:$A$1001,customers!$C$2:$C$1001,0)</f>
        <v>nhelkine9@example.com</v>
      </c>
      <c r="H515" s="2" t="str">
        <f>_xlfn.XLOOKUP(orders!C515,customers!$A$2:$A$1001,customers!$G$2:$G$1001,0)</f>
        <v>United States</v>
      </c>
      <c r="I515" t="str">
        <f>INDEX(products!$A$1:$G$49,MATCH(orders!$D515,products!$A$1:$A$49,0),MATCH($I$1,products!$A$1:$G$1,0))</f>
        <v>Lib</v>
      </c>
      <c r="J515" t="str">
        <f>INDEX(products!$A$1:$G$49,MATCH(orders!$D515,products!$A$1:$A$49,0),MATCH($J$1,products!$A$1:$G$1,0))</f>
        <v>L</v>
      </c>
      <c r="K515" s="1">
        <f>INDEX(products!$A$1:$G$49,MATCH(orders!$D515,products!$A$1:$A$49,0),MATCH($K$1,products!$A$1:$G$1,0))</f>
        <v>1</v>
      </c>
      <c r="L515">
        <f>INDEX(products!$A$1:$G$49,MATCH(orders!$D515,products!$A$1:$A$49,0),MATCH($L$1,products!$A$1:$G$1,0))</f>
        <v>15.85</v>
      </c>
      <c r="M515">
        <f t="shared" ref="M515:M578" si="25">L515*E515</f>
        <v>79.25</v>
      </c>
      <c r="N515" t="str">
        <f t="shared" ref="N515:N578" si="26">IF(I515="Rob","Robusta",IF(I515="Exc","Excelsa",IF(I515="Ara","Arabica",IF(I515="Lib","Liberica",""))))</f>
        <v>Liberica</v>
      </c>
      <c r="O515" t="str">
        <f t="shared" ref="O515:O578" si="27">IF(J515="M", "Medium", IF(J515="L","Light", IF(J515="D", "Dark","")))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_xlfn.XLOOKUP(C516,customers!$A$2:$A$1001,customers!$B$2:$B$1001,0)</f>
        <v>Pippo Witherington</v>
      </c>
      <c r="G516" s="2" t="str">
        <f>_xlfn.XLOOKUP(C516,customers!$A$2:$A$1001,customers!$C$2:$C$1001,0)</f>
        <v>pwitheringtonea@networkadvertising.org</v>
      </c>
      <c r="H516" s="2" t="str">
        <f>_xlfn.XLOOKUP(orders!C516,customers!$A$2:$A$1001,customers!$G$2:$G$1001,0)</f>
        <v>United States</v>
      </c>
      <c r="I516" t="str">
        <f>INDEX(products!$A$1:$G$49,MATCH(orders!$D516,products!$A$1:$A$49,0),MATCH($I$1,products!$A$1:$G$1,0))</f>
        <v>Lib</v>
      </c>
      <c r="J516" t="str">
        <f>INDEX(products!$A$1:$G$49,MATCH(orders!$D516,products!$A$1:$A$49,0),MATCH($J$1,products!$A$1:$G$1,0))</f>
        <v>M</v>
      </c>
      <c r="K516" s="1">
        <f>INDEX(products!$A$1:$G$49,MATCH(orders!$D516,products!$A$1:$A$49,0),MATCH($K$1,products!$A$1:$G$1,0))</f>
        <v>0.2</v>
      </c>
      <c r="L516">
        <f>INDEX(products!$A$1:$G$49,MATCH(orders!$D516,products!$A$1:$A$49,0),MATCH($L$1,products!$A$1:$G$1,0))</f>
        <v>4.3650000000000002</v>
      </c>
      <c r="M516">
        <f t="shared" si="25"/>
        <v>26.19</v>
      </c>
      <c r="N516" t="str">
        <f t="shared" si="26"/>
        <v>Liberica</v>
      </c>
      <c r="O516" t="str">
        <f t="shared" si="27"/>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_xlfn.XLOOKUP(C517,customers!$A$2:$A$1001,customers!$B$2:$B$1001,0)</f>
        <v>Tildie Tilzey</v>
      </c>
      <c r="G517" s="2" t="str">
        <f>_xlfn.XLOOKUP(C517,customers!$A$2:$A$1001,customers!$C$2:$C$1001,0)</f>
        <v>ttilzeyeb@hostgator.com</v>
      </c>
      <c r="H517" s="2" t="str">
        <f>_xlfn.XLOOKUP(orders!C517,customers!$A$2:$A$1001,customers!$G$2:$G$1001,0)</f>
        <v>United States</v>
      </c>
      <c r="I517" t="str">
        <f>INDEX(products!$A$1:$G$49,MATCH(orders!$D517,products!$A$1:$A$49,0),MATCH($I$1,products!$A$1:$G$1,0))</f>
        <v>Rob</v>
      </c>
      <c r="J517" t="str">
        <f>INDEX(products!$A$1:$G$49,MATCH(orders!$D517,products!$A$1:$A$49,0),MATCH($J$1,products!$A$1:$G$1,0))</f>
        <v>L</v>
      </c>
      <c r="K517" s="1">
        <f>INDEX(products!$A$1:$G$49,MATCH(orders!$D517,products!$A$1:$A$49,0),MATCH($K$1,products!$A$1:$G$1,0))</f>
        <v>0.5</v>
      </c>
      <c r="L517">
        <f>INDEX(products!$A$1:$G$49,MATCH(orders!$D517,products!$A$1:$A$49,0),MATCH($L$1,products!$A$1:$G$1,0))</f>
        <v>7.169999999999999</v>
      </c>
      <c r="M517">
        <f t="shared" si="25"/>
        <v>21.509999999999998</v>
      </c>
      <c r="N517" t="str">
        <f t="shared" si="26"/>
        <v>Robusta</v>
      </c>
      <c r="O517" t="str">
        <f t="shared" si="27"/>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_xlfn.XLOOKUP(C518,customers!$A$2:$A$1001,customers!$B$2:$B$1001,0)</f>
        <v>Cindra Burling</v>
      </c>
      <c r="G518" s="2">
        <f>_xlfn.XLOOKUP(C518,customers!$A$2:$A$1001,customers!$C$2:$C$1001,0)</f>
        <v>0</v>
      </c>
      <c r="H518" s="2" t="str">
        <f>_xlfn.XLOOKUP(orders!C518,customers!$A$2:$A$1001,customers!$G$2:$G$1001,0)</f>
        <v>United States</v>
      </c>
      <c r="I518" t="str">
        <f>INDEX(products!$A$1:$G$49,MATCH(orders!$D518,products!$A$1:$A$49,0),MATCH($I$1,products!$A$1:$G$1,0))</f>
        <v>Rob</v>
      </c>
      <c r="J518" t="str">
        <f>INDEX(products!$A$1:$G$49,MATCH(orders!$D518,products!$A$1:$A$49,0),MATCH($J$1,products!$A$1:$G$1,0))</f>
        <v>D</v>
      </c>
      <c r="K518" s="1">
        <f>INDEX(products!$A$1:$G$49,MATCH(orders!$D518,products!$A$1:$A$49,0),MATCH($K$1,products!$A$1:$G$1,0))</f>
        <v>2.5</v>
      </c>
      <c r="L518">
        <f>INDEX(products!$A$1:$G$49,MATCH(orders!$D518,products!$A$1:$A$49,0),MATCH($L$1,products!$A$1:$G$1,0))</f>
        <v>20.584999999999997</v>
      </c>
      <c r="M518">
        <f t="shared" si="25"/>
        <v>102.92499999999998</v>
      </c>
      <c r="N518" t="str">
        <f t="shared" si="26"/>
        <v>Robusta</v>
      </c>
      <c r="O518" t="str">
        <f t="shared" si="27"/>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_xlfn.XLOOKUP(C519,customers!$A$2:$A$1001,customers!$B$2:$B$1001,0)</f>
        <v>Channa Belamy</v>
      </c>
      <c r="G519" s="2">
        <f>_xlfn.XLOOKUP(C519,customers!$A$2:$A$1001,customers!$C$2:$C$1001,0)</f>
        <v>0</v>
      </c>
      <c r="H519" s="2" t="str">
        <f>_xlfn.XLOOKUP(orders!C519,customers!$A$2:$A$1001,customers!$G$2:$G$1001,0)</f>
        <v>United States</v>
      </c>
      <c r="I519" t="str">
        <f>INDEX(products!$A$1:$G$49,MATCH(orders!$D519,products!$A$1:$A$49,0),MATCH($I$1,products!$A$1:$G$1,0))</f>
        <v>Lib</v>
      </c>
      <c r="J519" t="str">
        <f>INDEX(products!$A$1:$G$49,MATCH(orders!$D519,products!$A$1:$A$49,0),MATCH($J$1,products!$A$1:$G$1,0))</f>
        <v>D</v>
      </c>
      <c r="K519" s="1">
        <f>INDEX(products!$A$1:$G$49,MATCH(orders!$D519,products!$A$1:$A$49,0),MATCH($K$1,products!$A$1:$G$1,0))</f>
        <v>0.2</v>
      </c>
      <c r="L519">
        <f>INDEX(products!$A$1:$G$49,MATCH(orders!$D519,products!$A$1:$A$49,0),MATCH($L$1,products!$A$1:$G$1,0))</f>
        <v>3.8849999999999998</v>
      </c>
      <c r="M519">
        <f t="shared" si="25"/>
        <v>7.77</v>
      </c>
      <c r="N519" t="str">
        <f t="shared" si="26"/>
        <v>Liberica</v>
      </c>
      <c r="O519" t="str">
        <f t="shared" si="27"/>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_xlfn.XLOOKUP(C520,customers!$A$2:$A$1001,customers!$B$2:$B$1001,0)</f>
        <v>Karl Imorts</v>
      </c>
      <c r="G520" s="2" t="str">
        <f>_xlfn.XLOOKUP(C520,customers!$A$2:$A$1001,customers!$C$2:$C$1001,0)</f>
        <v>kimortsee@alexa.com</v>
      </c>
      <c r="H520" s="2" t="str">
        <f>_xlfn.XLOOKUP(orders!C520,customers!$A$2:$A$1001,customers!$G$2:$G$1001,0)</f>
        <v>United States</v>
      </c>
      <c r="I520" t="str">
        <f>INDEX(products!$A$1:$G$49,MATCH(orders!$D520,products!$A$1:$A$49,0),MATCH($I$1,products!$A$1:$G$1,0))</f>
        <v>Exc</v>
      </c>
      <c r="J520" t="str">
        <f>INDEX(products!$A$1:$G$49,MATCH(orders!$D520,products!$A$1:$A$49,0),MATCH($J$1,products!$A$1:$G$1,0))</f>
        <v>D</v>
      </c>
      <c r="K520" s="1">
        <f>INDEX(products!$A$1:$G$49,MATCH(orders!$D520,products!$A$1:$A$49,0),MATCH($K$1,products!$A$1:$G$1,0))</f>
        <v>2.5</v>
      </c>
      <c r="L520">
        <f>INDEX(products!$A$1:$G$49,MATCH(orders!$D520,products!$A$1:$A$49,0),MATCH($L$1,products!$A$1:$G$1,0))</f>
        <v>27.945</v>
      </c>
      <c r="M520">
        <f t="shared" si="25"/>
        <v>139.72499999999999</v>
      </c>
      <c r="N520" t="str">
        <f t="shared" si="26"/>
        <v>Excelsa</v>
      </c>
      <c r="O520" t="str">
        <f t="shared" si="27"/>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_xlfn.XLOOKUP(C521,customers!$A$2:$A$1001,customers!$B$2:$B$1001,0)</f>
        <v>Marja Urion</v>
      </c>
      <c r="G521" s="2" t="str">
        <f>_xlfn.XLOOKUP(C521,customers!$A$2:$A$1001,customers!$C$2:$C$1001,0)</f>
        <v>murione5@alexa.com</v>
      </c>
      <c r="H521" s="2" t="str">
        <f>_xlfn.XLOOKUP(orders!C521,customers!$A$2:$A$1001,customers!$G$2:$G$1001,0)</f>
        <v>Ireland</v>
      </c>
      <c r="I521" t="str">
        <f>INDEX(products!$A$1:$G$49,MATCH(orders!$D521,products!$A$1:$A$49,0),MATCH($I$1,products!$A$1:$G$1,0))</f>
        <v>Ara</v>
      </c>
      <c r="J521" t="str">
        <f>INDEX(products!$A$1:$G$49,MATCH(orders!$D521,products!$A$1:$A$49,0),MATCH($J$1,products!$A$1:$G$1,0))</f>
        <v>D</v>
      </c>
      <c r="K521" s="1">
        <f>INDEX(products!$A$1:$G$49,MATCH(orders!$D521,products!$A$1:$A$49,0),MATCH($K$1,products!$A$1:$G$1,0))</f>
        <v>0.5</v>
      </c>
      <c r="L521">
        <f>INDEX(products!$A$1:$G$49,MATCH(orders!$D521,products!$A$1:$A$49,0),MATCH($L$1,products!$A$1:$G$1,0))</f>
        <v>5.97</v>
      </c>
      <c r="M521">
        <f t="shared" si="25"/>
        <v>11.94</v>
      </c>
      <c r="N521" t="str">
        <f t="shared" si="26"/>
        <v>Arabica</v>
      </c>
      <c r="O521" t="str">
        <f t="shared" si="27"/>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_xlfn.XLOOKUP(C522,customers!$A$2:$A$1001,customers!$B$2:$B$1001,0)</f>
        <v>Mag Armistead</v>
      </c>
      <c r="G522" s="2" t="str">
        <f>_xlfn.XLOOKUP(C522,customers!$A$2:$A$1001,customers!$C$2:$C$1001,0)</f>
        <v>marmisteadeg@blogtalkradio.com</v>
      </c>
      <c r="H522" s="2" t="str">
        <f>_xlfn.XLOOKUP(orders!C522,customers!$A$2:$A$1001,customers!$G$2:$G$1001,0)</f>
        <v>United States</v>
      </c>
      <c r="I522" t="str">
        <f>INDEX(products!$A$1:$G$49,MATCH(orders!$D522,products!$A$1:$A$49,0),MATCH($I$1,products!$A$1:$G$1,0))</f>
        <v>Lib</v>
      </c>
      <c r="J522" t="str">
        <f>INDEX(products!$A$1:$G$49,MATCH(orders!$D522,products!$A$1:$A$49,0),MATCH($J$1,products!$A$1:$G$1,0))</f>
        <v>D</v>
      </c>
      <c r="K522" s="1">
        <f>INDEX(products!$A$1:$G$49,MATCH(orders!$D522,products!$A$1:$A$49,0),MATCH($K$1,products!$A$1:$G$1,0))</f>
        <v>0.2</v>
      </c>
      <c r="L522">
        <f>INDEX(products!$A$1:$G$49,MATCH(orders!$D522,products!$A$1:$A$49,0),MATCH($L$1,products!$A$1:$G$1,0))</f>
        <v>3.8849999999999998</v>
      </c>
      <c r="M522">
        <f t="shared" si="25"/>
        <v>3.8849999999999998</v>
      </c>
      <c r="N522" t="str">
        <f t="shared" si="26"/>
        <v>Liberica</v>
      </c>
      <c r="O522" t="str">
        <f t="shared" si="27"/>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_xlfn.XLOOKUP(C523,customers!$A$2:$A$1001,customers!$B$2:$B$1001,0)</f>
        <v>Mag Armistead</v>
      </c>
      <c r="G523" s="2" t="str">
        <f>_xlfn.XLOOKUP(C523,customers!$A$2:$A$1001,customers!$C$2:$C$1001,0)</f>
        <v>marmisteadeg@blogtalkradio.com</v>
      </c>
      <c r="H523" s="2" t="str">
        <f>_xlfn.XLOOKUP(orders!C523,customers!$A$2:$A$1001,customers!$G$2:$G$1001,0)</f>
        <v>United States</v>
      </c>
      <c r="I523" t="str">
        <f>INDEX(products!$A$1:$G$49,MATCH(orders!$D523,products!$A$1:$A$49,0),MATCH($I$1,products!$A$1:$G$1,0))</f>
        <v>Rob</v>
      </c>
      <c r="J523" t="str">
        <f>INDEX(products!$A$1:$G$49,MATCH(orders!$D523,products!$A$1:$A$49,0),MATCH($J$1,products!$A$1:$G$1,0))</f>
        <v>M</v>
      </c>
      <c r="K523" s="1">
        <f>INDEX(products!$A$1:$G$49,MATCH(orders!$D523,products!$A$1:$A$49,0),MATCH($K$1,products!$A$1:$G$1,0))</f>
        <v>1</v>
      </c>
      <c r="L523">
        <f>INDEX(products!$A$1:$G$49,MATCH(orders!$D523,products!$A$1:$A$49,0),MATCH($L$1,products!$A$1:$G$1,0))</f>
        <v>9.9499999999999993</v>
      </c>
      <c r="M523">
        <f t="shared" si="25"/>
        <v>39.799999999999997</v>
      </c>
      <c r="N523" t="str">
        <f t="shared" si="26"/>
        <v>Robusta</v>
      </c>
      <c r="O523" t="str">
        <f t="shared" si="27"/>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_xlfn.XLOOKUP(C524,customers!$A$2:$A$1001,customers!$B$2:$B$1001,0)</f>
        <v>Vasili Upstone</v>
      </c>
      <c r="G524" s="2" t="str">
        <f>_xlfn.XLOOKUP(C524,customers!$A$2:$A$1001,customers!$C$2:$C$1001,0)</f>
        <v>vupstoneei@google.pl</v>
      </c>
      <c r="H524" s="2" t="str">
        <f>_xlfn.XLOOKUP(orders!C524,customers!$A$2:$A$1001,customers!$G$2:$G$1001,0)</f>
        <v>United States</v>
      </c>
      <c r="I524" t="str">
        <f>INDEX(products!$A$1:$G$49,MATCH(orders!$D524,products!$A$1:$A$49,0),MATCH($I$1,products!$A$1:$G$1,0))</f>
        <v>Rob</v>
      </c>
      <c r="J524" t="str">
        <f>INDEX(products!$A$1:$G$49,MATCH(orders!$D524,products!$A$1:$A$49,0),MATCH($J$1,products!$A$1:$G$1,0))</f>
        <v>M</v>
      </c>
      <c r="K524" s="1">
        <f>INDEX(products!$A$1:$G$49,MATCH(orders!$D524,products!$A$1:$A$49,0),MATCH($K$1,products!$A$1:$G$1,0))</f>
        <v>0.5</v>
      </c>
      <c r="L524">
        <f>INDEX(products!$A$1:$G$49,MATCH(orders!$D524,products!$A$1:$A$49,0),MATCH($L$1,products!$A$1:$G$1,0))</f>
        <v>5.97</v>
      </c>
      <c r="M524">
        <f t="shared" si="25"/>
        <v>29.849999999999998</v>
      </c>
      <c r="N524" t="str">
        <f t="shared" si="26"/>
        <v>Robusta</v>
      </c>
      <c r="O524" t="str">
        <f t="shared" si="27"/>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_xlfn.XLOOKUP(C525,customers!$A$2:$A$1001,customers!$B$2:$B$1001,0)</f>
        <v>Berty Beelby</v>
      </c>
      <c r="G525" s="2" t="str">
        <f>_xlfn.XLOOKUP(C525,customers!$A$2:$A$1001,customers!$C$2:$C$1001,0)</f>
        <v>bbeelbyej@rediff.com</v>
      </c>
      <c r="H525" s="2" t="str">
        <f>_xlfn.XLOOKUP(orders!C525,customers!$A$2:$A$1001,customers!$G$2:$G$1001,0)</f>
        <v>Ireland</v>
      </c>
      <c r="I525" t="str">
        <f>INDEX(products!$A$1:$G$49,MATCH(orders!$D525,products!$A$1:$A$49,0),MATCH($I$1,products!$A$1:$G$1,0))</f>
        <v>Lib</v>
      </c>
      <c r="J525" t="str">
        <f>INDEX(products!$A$1:$G$49,MATCH(orders!$D525,products!$A$1:$A$49,0),MATCH($J$1,products!$A$1:$G$1,0))</f>
        <v>D</v>
      </c>
      <c r="K525" s="1">
        <f>INDEX(products!$A$1:$G$49,MATCH(orders!$D525,products!$A$1:$A$49,0),MATCH($K$1,products!$A$1:$G$1,0))</f>
        <v>2.5</v>
      </c>
      <c r="L525">
        <f>INDEX(products!$A$1:$G$49,MATCH(orders!$D525,products!$A$1:$A$49,0),MATCH($L$1,products!$A$1:$G$1,0))</f>
        <v>29.784999999999997</v>
      </c>
      <c r="M525">
        <f t="shared" si="25"/>
        <v>29.784999999999997</v>
      </c>
      <c r="N525" t="str">
        <f t="shared" si="26"/>
        <v>Liberica</v>
      </c>
      <c r="O525" t="str">
        <f t="shared" si="27"/>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_xlfn.XLOOKUP(C526,customers!$A$2:$A$1001,customers!$B$2:$B$1001,0)</f>
        <v>Erny Stenyng</v>
      </c>
      <c r="G526" s="2">
        <f>_xlfn.XLOOKUP(C526,customers!$A$2:$A$1001,customers!$C$2:$C$1001,0)</f>
        <v>0</v>
      </c>
      <c r="H526" s="2" t="str">
        <f>_xlfn.XLOOKUP(orders!C526,customers!$A$2:$A$1001,customers!$G$2:$G$1001,0)</f>
        <v>United States</v>
      </c>
      <c r="I526" t="str">
        <f>INDEX(products!$A$1:$G$49,MATCH(orders!$D526,products!$A$1:$A$49,0),MATCH($I$1,products!$A$1:$G$1,0))</f>
        <v>Lib</v>
      </c>
      <c r="J526" t="str">
        <f>INDEX(products!$A$1:$G$49,MATCH(orders!$D526,products!$A$1:$A$49,0),MATCH($J$1,products!$A$1:$G$1,0))</f>
        <v>L</v>
      </c>
      <c r="K526" s="1">
        <f>INDEX(products!$A$1:$G$49,MATCH(orders!$D526,products!$A$1:$A$49,0),MATCH($K$1,products!$A$1:$G$1,0))</f>
        <v>2.5</v>
      </c>
      <c r="L526">
        <f>INDEX(products!$A$1:$G$49,MATCH(orders!$D526,products!$A$1:$A$49,0),MATCH($L$1,products!$A$1:$G$1,0))</f>
        <v>36.454999999999998</v>
      </c>
      <c r="M526">
        <f t="shared" si="25"/>
        <v>72.91</v>
      </c>
      <c r="N526" t="str">
        <f t="shared" si="26"/>
        <v>Liberica</v>
      </c>
      <c r="O526" t="str">
        <f t="shared" si="27"/>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_xlfn.XLOOKUP(C527,customers!$A$2:$A$1001,customers!$B$2:$B$1001,0)</f>
        <v>Edin Yantsurev</v>
      </c>
      <c r="G527" s="2">
        <f>_xlfn.XLOOKUP(C527,customers!$A$2:$A$1001,customers!$C$2:$C$1001,0)</f>
        <v>0</v>
      </c>
      <c r="H527" s="2" t="str">
        <f>_xlfn.XLOOKUP(orders!C527,customers!$A$2:$A$1001,customers!$G$2:$G$1001,0)</f>
        <v>United States</v>
      </c>
      <c r="I527" t="str">
        <f>INDEX(products!$A$1:$G$49,MATCH(orders!$D527,products!$A$1:$A$49,0),MATCH($I$1,products!$A$1:$G$1,0))</f>
        <v>Rob</v>
      </c>
      <c r="J527" t="str">
        <f>INDEX(products!$A$1:$G$49,MATCH(orders!$D527,products!$A$1:$A$49,0),MATCH($J$1,products!$A$1:$G$1,0))</f>
        <v>D</v>
      </c>
      <c r="K527" s="1">
        <f>INDEX(products!$A$1:$G$49,MATCH(orders!$D527,products!$A$1:$A$49,0),MATCH($K$1,products!$A$1:$G$1,0))</f>
        <v>0.2</v>
      </c>
      <c r="L527">
        <f>INDEX(products!$A$1:$G$49,MATCH(orders!$D527,products!$A$1:$A$49,0),MATCH($L$1,products!$A$1:$G$1,0))</f>
        <v>2.6849999999999996</v>
      </c>
      <c r="M527">
        <f t="shared" si="25"/>
        <v>13.424999999999997</v>
      </c>
      <c r="N527" t="str">
        <f t="shared" si="26"/>
        <v>Robusta</v>
      </c>
      <c r="O527" t="str">
        <f t="shared" si="27"/>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_xlfn.XLOOKUP(C528,customers!$A$2:$A$1001,customers!$B$2:$B$1001,0)</f>
        <v>Webb Speechly</v>
      </c>
      <c r="G528" s="2" t="str">
        <f>_xlfn.XLOOKUP(C528,customers!$A$2:$A$1001,customers!$C$2:$C$1001,0)</f>
        <v>wspeechlyem@amazon.com</v>
      </c>
      <c r="H528" s="2" t="str">
        <f>_xlfn.XLOOKUP(orders!C528,customers!$A$2:$A$1001,customers!$G$2:$G$1001,0)</f>
        <v>United States</v>
      </c>
      <c r="I528" t="str">
        <f>INDEX(products!$A$1:$G$49,MATCH(orders!$D528,products!$A$1:$A$49,0),MATCH($I$1,products!$A$1:$G$1,0))</f>
        <v>Exc</v>
      </c>
      <c r="J528" t="str">
        <f>INDEX(products!$A$1:$G$49,MATCH(orders!$D528,products!$A$1:$A$49,0),MATCH($J$1,products!$A$1:$G$1,0))</f>
        <v>M</v>
      </c>
      <c r="K528" s="1">
        <f>INDEX(products!$A$1:$G$49,MATCH(orders!$D528,products!$A$1:$A$49,0),MATCH($K$1,products!$A$1:$G$1,0))</f>
        <v>2.5</v>
      </c>
      <c r="L528">
        <f>INDEX(products!$A$1:$G$49,MATCH(orders!$D528,products!$A$1:$A$49,0),MATCH($L$1,products!$A$1:$G$1,0))</f>
        <v>31.624999999999996</v>
      </c>
      <c r="M528">
        <f t="shared" si="25"/>
        <v>126.49999999999999</v>
      </c>
      <c r="N528" t="str">
        <f t="shared" si="26"/>
        <v>Excelsa</v>
      </c>
      <c r="O528" t="str">
        <f t="shared" si="27"/>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_xlfn.XLOOKUP(C529,customers!$A$2:$A$1001,customers!$B$2:$B$1001,0)</f>
        <v>Irvine Phillpot</v>
      </c>
      <c r="G529" s="2" t="str">
        <f>_xlfn.XLOOKUP(C529,customers!$A$2:$A$1001,customers!$C$2:$C$1001,0)</f>
        <v>iphillpoten@buzzfeed.com</v>
      </c>
      <c r="H529" s="2" t="str">
        <f>_xlfn.XLOOKUP(orders!C529,customers!$A$2:$A$1001,customers!$G$2:$G$1001,0)</f>
        <v>United Kingdom</v>
      </c>
      <c r="I529" t="str">
        <f>INDEX(products!$A$1:$G$49,MATCH(orders!$D529,products!$A$1:$A$49,0),MATCH($I$1,products!$A$1:$G$1,0))</f>
        <v>Exc</v>
      </c>
      <c r="J529" t="str">
        <f>INDEX(products!$A$1:$G$49,MATCH(orders!$D529,products!$A$1:$A$49,0),MATCH($J$1,products!$A$1:$G$1,0))</f>
        <v>M</v>
      </c>
      <c r="K529" s="1">
        <f>INDEX(products!$A$1:$G$49,MATCH(orders!$D529,products!$A$1:$A$49,0),MATCH($K$1,products!$A$1:$G$1,0))</f>
        <v>0.5</v>
      </c>
      <c r="L529">
        <f>INDEX(products!$A$1:$G$49,MATCH(orders!$D529,products!$A$1:$A$49,0),MATCH($L$1,products!$A$1:$G$1,0))</f>
        <v>8.25</v>
      </c>
      <c r="M529">
        <f t="shared" si="25"/>
        <v>41.25</v>
      </c>
      <c r="N529" t="str">
        <f t="shared" si="26"/>
        <v>Excelsa</v>
      </c>
      <c r="O529" t="str">
        <f t="shared" si="27"/>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_xlfn.XLOOKUP(C530,customers!$A$2:$A$1001,customers!$B$2:$B$1001,0)</f>
        <v>Lem Pennacci</v>
      </c>
      <c r="G530" s="2" t="str">
        <f>_xlfn.XLOOKUP(C530,customers!$A$2:$A$1001,customers!$C$2:$C$1001,0)</f>
        <v>lpennaccieo@statcounter.com</v>
      </c>
      <c r="H530" s="2" t="str">
        <f>_xlfn.XLOOKUP(orders!C530,customers!$A$2:$A$1001,customers!$G$2:$G$1001,0)</f>
        <v>United States</v>
      </c>
      <c r="I530" t="str">
        <f>INDEX(products!$A$1:$G$49,MATCH(orders!$D530,products!$A$1:$A$49,0),MATCH($I$1,products!$A$1:$G$1,0))</f>
        <v>Exc</v>
      </c>
      <c r="J530" t="str">
        <f>INDEX(products!$A$1:$G$49,MATCH(orders!$D530,products!$A$1:$A$49,0),MATCH($J$1,products!$A$1:$G$1,0))</f>
        <v>L</v>
      </c>
      <c r="K530" s="1">
        <f>INDEX(products!$A$1:$G$49,MATCH(orders!$D530,products!$A$1:$A$49,0),MATCH($K$1,products!$A$1:$G$1,0))</f>
        <v>0.5</v>
      </c>
      <c r="L530">
        <f>INDEX(products!$A$1:$G$49,MATCH(orders!$D530,products!$A$1:$A$49,0),MATCH($L$1,products!$A$1:$G$1,0))</f>
        <v>8.91</v>
      </c>
      <c r="M530">
        <f t="shared" si="25"/>
        <v>53.46</v>
      </c>
      <c r="N530" t="str">
        <f t="shared" si="26"/>
        <v>Excelsa</v>
      </c>
      <c r="O530" t="str">
        <f t="shared" si="27"/>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_xlfn.XLOOKUP(C531,customers!$A$2:$A$1001,customers!$B$2:$B$1001,0)</f>
        <v>Starr Arpin</v>
      </c>
      <c r="G531" s="2" t="str">
        <f>_xlfn.XLOOKUP(C531,customers!$A$2:$A$1001,customers!$C$2:$C$1001,0)</f>
        <v>sarpinep@moonfruit.com</v>
      </c>
      <c r="H531" s="2" t="str">
        <f>_xlfn.XLOOKUP(orders!C531,customers!$A$2:$A$1001,customers!$G$2:$G$1001,0)</f>
        <v>United States</v>
      </c>
      <c r="I531" t="str">
        <f>INDEX(products!$A$1:$G$49,MATCH(orders!$D531,products!$A$1:$A$49,0),MATCH($I$1,products!$A$1:$G$1,0))</f>
        <v>Rob</v>
      </c>
      <c r="J531" t="str">
        <f>INDEX(products!$A$1:$G$49,MATCH(orders!$D531,products!$A$1:$A$49,0),MATCH($J$1,products!$A$1:$G$1,0))</f>
        <v>M</v>
      </c>
      <c r="K531" s="1">
        <f>INDEX(products!$A$1:$G$49,MATCH(orders!$D531,products!$A$1:$A$49,0),MATCH($K$1,products!$A$1:$G$1,0))</f>
        <v>1</v>
      </c>
      <c r="L531">
        <f>INDEX(products!$A$1:$G$49,MATCH(orders!$D531,products!$A$1:$A$49,0),MATCH($L$1,products!$A$1:$G$1,0))</f>
        <v>9.9499999999999993</v>
      </c>
      <c r="M531">
        <f t="shared" si="25"/>
        <v>59.699999999999996</v>
      </c>
      <c r="N531" t="str">
        <f t="shared" si="26"/>
        <v>Robusta</v>
      </c>
      <c r="O531" t="str">
        <f t="shared" si="27"/>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_xlfn.XLOOKUP(C532,customers!$A$2:$A$1001,customers!$B$2:$B$1001,0)</f>
        <v>Donny Fries</v>
      </c>
      <c r="G532" s="2" t="str">
        <f>_xlfn.XLOOKUP(C532,customers!$A$2:$A$1001,customers!$C$2:$C$1001,0)</f>
        <v>dfrieseq@cargocollective.com</v>
      </c>
      <c r="H532" s="2" t="str">
        <f>_xlfn.XLOOKUP(orders!C532,customers!$A$2:$A$1001,customers!$G$2:$G$1001,0)</f>
        <v>United States</v>
      </c>
      <c r="I532" t="str">
        <f>INDEX(products!$A$1:$G$49,MATCH(orders!$D532,products!$A$1:$A$49,0),MATCH($I$1,products!$A$1:$G$1,0))</f>
        <v>Rob</v>
      </c>
      <c r="J532" t="str">
        <f>INDEX(products!$A$1:$G$49,MATCH(orders!$D532,products!$A$1:$A$49,0),MATCH($J$1,products!$A$1:$G$1,0))</f>
        <v>M</v>
      </c>
      <c r="K532" s="1">
        <f>INDEX(products!$A$1:$G$49,MATCH(orders!$D532,products!$A$1:$A$49,0),MATCH($K$1,products!$A$1:$G$1,0))</f>
        <v>1</v>
      </c>
      <c r="L532">
        <f>INDEX(products!$A$1:$G$49,MATCH(orders!$D532,products!$A$1:$A$49,0),MATCH($L$1,products!$A$1:$G$1,0))</f>
        <v>9.9499999999999993</v>
      </c>
      <c r="M532">
        <f t="shared" si="25"/>
        <v>59.699999999999996</v>
      </c>
      <c r="N532" t="str">
        <f t="shared" si="26"/>
        <v>Robusta</v>
      </c>
      <c r="O532" t="str">
        <f t="shared" si="27"/>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_xlfn.XLOOKUP(C533,customers!$A$2:$A$1001,customers!$B$2:$B$1001,0)</f>
        <v>Rana Sharer</v>
      </c>
      <c r="G533" s="2" t="str">
        <f>_xlfn.XLOOKUP(C533,customers!$A$2:$A$1001,customers!$C$2:$C$1001,0)</f>
        <v>rsharerer@flavors.me</v>
      </c>
      <c r="H533" s="2" t="str">
        <f>_xlfn.XLOOKUP(orders!C533,customers!$A$2:$A$1001,customers!$G$2:$G$1001,0)</f>
        <v>United States</v>
      </c>
      <c r="I533" t="str">
        <f>INDEX(products!$A$1:$G$49,MATCH(orders!$D533,products!$A$1:$A$49,0),MATCH($I$1,products!$A$1:$G$1,0))</f>
        <v>Rob</v>
      </c>
      <c r="J533" t="str">
        <f>INDEX(products!$A$1:$G$49,MATCH(orders!$D533,products!$A$1:$A$49,0),MATCH($J$1,products!$A$1:$G$1,0))</f>
        <v>D</v>
      </c>
      <c r="K533" s="1">
        <f>INDEX(products!$A$1:$G$49,MATCH(orders!$D533,products!$A$1:$A$49,0),MATCH($K$1,products!$A$1:$G$1,0))</f>
        <v>1</v>
      </c>
      <c r="L533">
        <f>INDEX(products!$A$1:$G$49,MATCH(orders!$D533,products!$A$1:$A$49,0),MATCH($L$1,products!$A$1:$G$1,0))</f>
        <v>8.9499999999999993</v>
      </c>
      <c r="M533">
        <f t="shared" si="25"/>
        <v>44.75</v>
      </c>
      <c r="N533" t="str">
        <f t="shared" si="26"/>
        <v>Robusta</v>
      </c>
      <c r="O533" t="str">
        <f t="shared" si="27"/>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_xlfn.XLOOKUP(C534,customers!$A$2:$A$1001,customers!$B$2:$B$1001,0)</f>
        <v>Nannie Naseby</v>
      </c>
      <c r="G534" s="2" t="str">
        <f>_xlfn.XLOOKUP(C534,customers!$A$2:$A$1001,customers!$C$2:$C$1001,0)</f>
        <v>nnasebyes@umich.edu</v>
      </c>
      <c r="H534" s="2" t="str">
        <f>_xlfn.XLOOKUP(orders!C534,customers!$A$2:$A$1001,customers!$G$2:$G$1001,0)</f>
        <v>United States</v>
      </c>
      <c r="I534" t="str">
        <f>INDEX(products!$A$1:$G$49,MATCH(orders!$D534,products!$A$1:$A$49,0),MATCH($I$1,products!$A$1:$G$1,0))</f>
        <v>Exc</v>
      </c>
      <c r="J534" t="str">
        <f>INDEX(products!$A$1:$G$49,MATCH(orders!$D534,products!$A$1:$A$49,0),MATCH($J$1,products!$A$1:$G$1,0))</f>
        <v>M</v>
      </c>
      <c r="K534" s="1">
        <f>INDEX(products!$A$1:$G$49,MATCH(orders!$D534,products!$A$1:$A$49,0),MATCH($K$1,products!$A$1:$G$1,0))</f>
        <v>0.5</v>
      </c>
      <c r="L534">
        <f>INDEX(products!$A$1:$G$49,MATCH(orders!$D534,products!$A$1:$A$49,0),MATCH($L$1,products!$A$1:$G$1,0))</f>
        <v>8.25</v>
      </c>
      <c r="M534">
        <f t="shared" si="25"/>
        <v>16.5</v>
      </c>
      <c r="N534" t="str">
        <f t="shared" si="26"/>
        <v>Excelsa</v>
      </c>
      <c r="O534" t="str">
        <f t="shared" si="27"/>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_xlfn.XLOOKUP(C535,customers!$A$2:$A$1001,customers!$B$2:$B$1001,0)</f>
        <v>Rea Offell</v>
      </c>
      <c r="G535" s="2">
        <f>_xlfn.XLOOKUP(C535,customers!$A$2:$A$1001,customers!$C$2:$C$1001,0)</f>
        <v>0</v>
      </c>
      <c r="H535" s="2" t="str">
        <f>_xlfn.XLOOKUP(orders!C535,customers!$A$2:$A$1001,customers!$G$2:$G$1001,0)</f>
        <v>United States</v>
      </c>
      <c r="I535" t="str">
        <f>INDEX(products!$A$1:$G$49,MATCH(orders!$D535,products!$A$1:$A$49,0),MATCH($I$1,products!$A$1:$G$1,0))</f>
        <v>Rob</v>
      </c>
      <c r="J535" t="str">
        <f>INDEX(products!$A$1:$G$49,MATCH(orders!$D535,products!$A$1:$A$49,0),MATCH($J$1,products!$A$1:$G$1,0))</f>
        <v>D</v>
      </c>
      <c r="K535" s="1">
        <f>INDEX(products!$A$1:$G$49,MATCH(orders!$D535,products!$A$1:$A$49,0),MATCH($K$1,products!$A$1:$G$1,0))</f>
        <v>0.5</v>
      </c>
      <c r="L535">
        <f>INDEX(products!$A$1:$G$49,MATCH(orders!$D535,products!$A$1:$A$49,0),MATCH($L$1,products!$A$1:$G$1,0))</f>
        <v>5.3699999999999992</v>
      </c>
      <c r="M535">
        <f t="shared" si="25"/>
        <v>21.479999999999997</v>
      </c>
      <c r="N535" t="str">
        <f t="shared" si="26"/>
        <v>Robusta</v>
      </c>
      <c r="O535" t="str">
        <f t="shared" si="27"/>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_xlfn.XLOOKUP(C536,customers!$A$2:$A$1001,customers!$B$2:$B$1001,0)</f>
        <v>Kris O'Cullen</v>
      </c>
      <c r="G536" s="2" t="str">
        <f>_xlfn.XLOOKUP(C536,customers!$A$2:$A$1001,customers!$C$2:$C$1001,0)</f>
        <v>koculleneu@ca.gov</v>
      </c>
      <c r="H536" s="2" t="str">
        <f>_xlfn.XLOOKUP(orders!C536,customers!$A$2:$A$1001,customers!$G$2:$G$1001,0)</f>
        <v>Ireland</v>
      </c>
      <c r="I536" t="str">
        <f>INDEX(products!$A$1:$G$49,MATCH(orders!$D536,products!$A$1:$A$49,0),MATCH($I$1,products!$A$1:$G$1,0))</f>
        <v>Rob</v>
      </c>
      <c r="J536" t="str">
        <f>INDEX(products!$A$1:$G$49,MATCH(orders!$D536,products!$A$1:$A$49,0),MATCH($J$1,products!$A$1:$G$1,0))</f>
        <v>M</v>
      </c>
      <c r="K536" s="1">
        <f>INDEX(products!$A$1:$G$49,MATCH(orders!$D536,products!$A$1:$A$49,0),MATCH($K$1,products!$A$1:$G$1,0))</f>
        <v>2.5</v>
      </c>
      <c r="L536">
        <f>INDEX(products!$A$1:$G$49,MATCH(orders!$D536,products!$A$1:$A$49,0),MATCH($L$1,products!$A$1:$G$1,0))</f>
        <v>22.884999999999998</v>
      </c>
      <c r="M536">
        <f t="shared" si="25"/>
        <v>45.769999999999996</v>
      </c>
      <c r="N536" t="str">
        <f t="shared" si="26"/>
        <v>Robusta</v>
      </c>
      <c r="O536" t="str">
        <f t="shared" si="27"/>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_xlfn.XLOOKUP(C537,customers!$A$2:$A$1001,customers!$B$2:$B$1001,0)</f>
        <v>Timoteo Glisane</v>
      </c>
      <c r="G537" s="2">
        <f>_xlfn.XLOOKUP(C537,customers!$A$2:$A$1001,customers!$C$2:$C$1001,0)</f>
        <v>0</v>
      </c>
      <c r="H537" s="2" t="str">
        <f>_xlfn.XLOOKUP(orders!C537,customers!$A$2:$A$1001,customers!$G$2:$G$1001,0)</f>
        <v>Ireland</v>
      </c>
      <c r="I537" t="str">
        <f>INDEX(products!$A$1:$G$49,MATCH(orders!$D537,products!$A$1:$A$49,0),MATCH($I$1,products!$A$1:$G$1,0))</f>
        <v>Lib</v>
      </c>
      <c r="J537" t="str">
        <f>INDEX(products!$A$1:$G$49,MATCH(orders!$D537,products!$A$1:$A$49,0),MATCH($J$1,products!$A$1:$G$1,0))</f>
        <v>L</v>
      </c>
      <c r="K537" s="1">
        <f>INDEX(products!$A$1:$G$49,MATCH(orders!$D537,products!$A$1:$A$49,0),MATCH($K$1,products!$A$1:$G$1,0))</f>
        <v>0.2</v>
      </c>
      <c r="L537">
        <f>INDEX(products!$A$1:$G$49,MATCH(orders!$D537,products!$A$1:$A$49,0),MATCH($L$1,products!$A$1:$G$1,0))</f>
        <v>4.7549999999999999</v>
      </c>
      <c r="M537">
        <f t="shared" si="25"/>
        <v>9.51</v>
      </c>
      <c r="N537" t="str">
        <f t="shared" si="26"/>
        <v>Liberica</v>
      </c>
      <c r="O537" t="str">
        <f t="shared" si="27"/>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_xlfn.XLOOKUP(C538,customers!$A$2:$A$1001,customers!$B$2:$B$1001,0)</f>
        <v>Marja Urion</v>
      </c>
      <c r="G538" s="2" t="str">
        <f>_xlfn.XLOOKUP(C538,customers!$A$2:$A$1001,customers!$C$2:$C$1001,0)</f>
        <v>murione5@alexa.com</v>
      </c>
      <c r="H538" s="2" t="str">
        <f>_xlfn.XLOOKUP(orders!C538,customers!$A$2:$A$1001,customers!$G$2:$G$1001,0)</f>
        <v>Ireland</v>
      </c>
      <c r="I538" t="str">
        <f>INDEX(products!$A$1:$G$49,MATCH(orders!$D538,products!$A$1:$A$49,0),MATCH($I$1,products!$A$1:$G$1,0))</f>
        <v>Rob</v>
      </c>
      <c r="J538" t="str">
        <f>INDEX(products!$A$1:$G$49,MATCH(orders!$D538,products!$A$1:$A$49,0),MATCH($J$1,products!$A$1:$G$1,0))</f>
        <v>D</v>
      </c>
      <c r="K538" s="1">
        <f>INDEX(products!$A$1:$G$49,MATCH(orders!$D538,products!$A$1:$A$49,0),MATCH($K$1,products!$A$1:$G$1,0))</f>
        <v>0.2</v>
      </c>
      <c r="L538">
        <f>INDEX(products!$A$1:$G$49,MATCH(orders!$D538,products!$A$1:$A$49,0),MATCH($L$1,products!$A$1:$G$1,0))</f>
        <v>2.6849999999999996</v>
      </c>
      <c r="M538">
        <f t="shared" si="25"/>
        <v>8.0549999999999997</v>
      </c>
      <c r="N538" t="str">
        <f t="shared" si="26"/>
        <v>Robusta</v>
      </c>
      <c r="O538" t="str">
        <f t="shared" si="27"/>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_xlfn.XLOOKUP(C539,customers!$A$2:$A$1001,customers!$B$2:$B$1001,0)</f>
        <v>Hildegarde Brangan</v>
      </c>
      <c r="G539" s="2" t="str">
        <f>_xlfn.XLOOKUP(C539,customers!$A$2:$A$1001,customers!$C$2:$C$1001,0)</f>
        <v>hbranganex@woothemes.com</v>
      </c>
      <c r="H539" s="2" t="str">
        <f>_xlfn.XLOOKUP(orders!C539,customers!$A$2:$A$1001,customers!$G$2:$G$1001,0)</f>
        <v>United States</v>
      </c>
      <c r="I539" t="str">
        <f>INDEX(products!$A$1:$G$49,MATCH(orders!$D539,products!$A$1:$A$49,0),MATCH($I$1,products!$A$1:$G$1,0))</f>
        <v>Exc</v>
      </c>
      <c r="J539" t="str">
        <f>INDEX(products!$A$1:$G$49,MATCH(orders!$D539,products!$A$1:$A$49,0),MATCH($J$1,products!$A$1:$G$1,0))</f>
        <v>D</v>
      </c>
      <c r="K539" s="1">
        <f>INDEX(products!$A$1:$G$49,MATCH(orders!$D539,products!$A$1:$A$49,0),MATCH($K$1,products!$A$1:$G$1,0))</f>
        <v>2.5</v>
      </c>
      <c r="L539">
        <f>INDEX(products!$A$1:$G$49,MATCH(orders!$D539,products!$A$1:$A$49,0),MATCH($L$1,products!$A$1:$G$1,0))</f>
        <v>27.945</v>
      </c>
      <c r="M539">
        <f t="shared" si="25"/>
        <v>111.78</v>
      </c>
      <c r="N539" t="str">
        <f t="shared" si="26"/>
        <v>Excelsa</v>
      </c>
      <c r="O539" t="str">
        <f t="shared" si="27"/>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_xlfn.XLOOKUP(C540,customers!$A$2:$A$1001,customers!$B$2:$B$1001,0)</f>
        <v>Amii Gallyon</v>
      </c>
      <c r="G540" s="2" t="str">
        <f>_xlfn.XLOOKUP(C540,customers!$A$2:$A$1001,customers!$C$2:$C$1001,0)</f>
        <v>agallyoney@engadget.com</v>
      </c>
      <c r="H540" s="2" t="str">
        <f>_xlfn.XLOOKUP(orders!C540,customers!$A$2:$A$1001,customers!$G$2:$G$1001,0)</f>
        <v>United States</v>
      </c>
      <c r="I540" t="str">
        <f>INDEX(products!$A$1:$G$49,MATCH(orders!$D540,products!$A$1:$A$49,0),MATCH($I$1,products!$A$1:$G$1,0))</f>
        <v>Rob</v>
      </c>
      <c r="J540" t="str">
        <f>INDEX(products!$A$1:$G$49,MATCH(orders!$D540,products!$A$1:$A$49,0),MATCH($J$1,products!$A$1:$G$1,0))</f>
        <v>D</v>
      </c>
      <c r="K540" s="1">
        <f>INDEX(products!$A$1:$G$49,MATCH(orders!$D540,products!$A$1:$A$49,0),MATCH($K$1,products!$A$1:$G$1,0))</f>
        <v>0.2</v>
      </c>
      <c r="L540">
        <f>INDEX(products!$A$1:$G$49,MATCH(orders!$D540,products!$A$1:$A$49,0),MATCH($L$1,products!$A$1:$G$1,0))</f>
        <v>2.6849999999999996</v>
      </c>
      <c r="M540">
        <f t="shared" si="25"/>
        <v>10.739999999999998</v>
      </c>
      <c r="N540" t="str">
        <f t="shared" si="26"/>
        <v>Robusta</v>
      </c>
      <c r="O540" t="str">
        <f t="shared" si="27"/>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_xlfn.XLOOKUP(C541,customers!$A$2:$A$1001,customers!$B$2:$B$1001,0)</f>
        <v>Birgit Domange</v>
      </c>
      <c r="G541" s="2" t="str">
        <f>_xlfn.XLOOKUP(C541,customers!$A$2:$A$1001,customers!$C$2:$C$1001,0)</f>
        <v>bdomangeez@yahoo.co.jp</v>
      </c>
      <c r="H541" s="2" t="str">
        <f>_xlfn.XLOOKUP(orders!C541,customers!$A$2:$A$1001,customers!$G$2:$G$1001,0)</f>
        <v>United States</v>
      </c>
      <c r="I541" t="str">
        <f>INDEX(products!$A$1:$G$49,MATCH(orders!$D541,products!$A$1:$A$49,0),MATCH($I$1,products!$A$1:$G$1,0))</f>
        <v>Rob</v>
      </c>
      <c r="J541" t="str">
        <f>INDEX(products!$A$1:$G$49,MATCH(orders!$D541,products!$A$1:$A$49,0),MATCH($J$1,products!$A$1:$G$1,0))</f>
        <v>D</v>
      </c>
      <c r="K541" s="1">
        <f>INDEX(products!$A$1:$G$49,MATCH(orders!$D541,products!$A$1:$A$49,0),MATCH($K$1,products!$A$1:$G$1,0))</f>
        <v>0.5</v>
      </c>
      <c r="L541">
        <f>INDEX(products!$A$1:$G$49,MATCH(orders!$D541,products!$A$1:$A$49,0),MATCH($L$1,products!$A$1:$G$1,0))</f>
        <v>5.3699999999999992</v>
      </c>
      <c r="M541">
        <f t="shared" si="25"/>
        <v>26.849999999999994</v>
      </c>
      <c r="N541" t="str">
        <f t="shared" si="26"/>
        <v>Robusta</v>
      </c>
      <c r="O541" t="str">
        <f t="shared" si="27"/>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_xlfn.XLOOKUP(C542,customers!$A$2:$A$1001,customers!$B$2:$B$1001,0)</f>
        <v>Killian Osler</v>
      </c>
      <c r="G542" s="2" t="str">
        <f>_xlfn.XLOOKUP(C542,customers!$A$2:$A$1001,customers!$C$2:$C$1001,0)</f>
        <v>koslerf0@gmpg.org</v>
      </c>
      <c r="H542" s="2" t="str">
        <f>_xlfn.XLOOKUP(orders!C542,customers!$A$2:$A$1001,customers!$G$2:$G$1001,0)</f>
        <v>United States</v>
      </c>
      <c r="I542" t="str">
        <f>INDEX(products!$A$1:$G$49,MATCH(orders!$D542,products!$A$1:$A$49,0),MATCH($I$1,products!$A$1:$G$1,0))</f>
        <v>Lib</v>
      </c>
      <c r="J542" t="str">
        <f>INDEX(products!$A$1:$G$49,MATCH(orders!$D542,products!$A$1:$A$49,0),MATCH($J$1,products!$A$1:$G$1,0))</f>
        <v>L</v>
      </c>
      <c r="K542" s="1">
        <f>INDEX(products!$A$1:$G$49,MATCH(orders!$D542,products!$A$1:$A$49,0),MATCH($K$1,products!$A$1:$G$1,0))</f>
        <v>1</v>
      </c>
      <c r="L542">
        <f>INDEX(products!$A$1:$G$49,MATCH(orders!$D542,products!$A$1:$A$49,0),MATCH($L$1,products!$A$1:$G$1,0))</f>
        <v>15.85</v>
      </c>
      <c r="M542">
        <f t="shared" si="25"/>
        <v>63.4</v>
      </c>
      <c r="N542" t="str">
        <f t="shared" si="26"/>
        <v>Liberica</v>
      </c>
      <c r="O542" t="str">
        <f t="shared" si="27"/>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_xlfn.XLOOKUP(C543,customers!$A$2:$A$1001,customers!$B$2:$B$1001,0)</f>
        <v>Lora Dukes</v>
      </c>
      <c r="G543" s="2">
        <f>_xlfn.XLOOKUP(C543,customers!$A$2:$A$1001,customers!$C$2:$C$1001,0)</f>
        <v>0</v>
      </c>
      <c r="H543" s="2" t="str">
        <f>_xlfn.XLOOKUP(orders!C543,customers!$A$2:$A$1001,customers!$G$2:$G$1001,0)</f>
        <v>Ireland</v>
      </c>
      <c r="I543" t="str">
        <f>INDEX(products!$A$1:$G$49,MATCH(orders!$D543,products!$A$1:$A$49,0),MATCH($I$1,products!$A$1:$G$1,0))</f>
        <v>Ara</v>
      </c>
      <c r="J543" t="str">
        <f>INDEX(products!$A$1:$G$49,MATCH(orders!$D543,products!$A$1:$A$49,0),MATCH($J$1,products!$A$1:$G$1,0))</f>
        <v>D</v>
      </c>
      <c r="K543" s="1">
        <f>INDEX(products!$A$1:$G$49,MATCH(orders!$D543,products!$A$1:$A$49,0),MATCH($K$1,products!$A$1:$G$1,0))</f>
        <v>2.5</v>
      </c>
      <c r="L543">
        <f>INDEX(products!$A$1:$G$49,MATCH(orders!$D543,products!$A$1:$A$49,0),MATCH($L$1,products!$A$1:$G$1,0))</f>
        <v>22.884999999999998</v>
      </c>
      <c r="M543">
        <f t="shared" si="25"/>
        <v>22.884999999999998</v>
      </c>
      <c r="N543" t="str">
        <f t="shared" si="26"/>
        <v>Arabica</v>
      </c>
      <c r="O543" t="str">
        <f t="shared" si="27"/>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_xlfn.XLOOKUP(C544,customers!$A$2:$A$1001,customers!$B$2:$B$1001,0)</f>
        <v>Zack Pellett</v>
      </c>
      <c r="G544" s="2" t="str">
        <f>_xlfn.XLOOKUP(C544,customers!$A$2:$A$1001,customers!$C$2:$C$1001,0)</f>
        <v>zpellettf2@dailymotion.com</v>
      </c>
      <c r="H544" s="2" t="str">
        <f>_xlfn.XLOOKUP(orders!C544,customers!$A$2:$A$1001,customers!$G$2:$G$1001,0)</f>
        <v>United States</v>
      </c>
      <c r="I544" t="str">
        <f>INDEX(products!$A$1:$G$49,MATCH(orders!$D544,products!$A$1:$A$49,0),MATCH($I$1,products!$A$1:$G$1,0))</f>
        <v>Ara</v>
      </c>
      <c r="J544" t="str">
        <f>INDEX(products!$A$1:$G$49,MATCH(orders!$D544,products!$A$1:$A$49,0),MATCH($J$1,products!$A$1:$G$1,0))</f>
        <v>M</v>
      </c>
      <c r="K544" s="1">
        <f>INDEX(products!$A$1:$G$49,MATCH(orders!$D544,products!$A$1:$A$49,0),MATCH($K$1,products!$A$1:$G$1,0))</f>
        <v>2.5</v>
      </c>
      <c r="L544">
        <f>INDEX(products!$A$1:$G$49,MATCH(orders!$D544,products!$A$1:$A$49,0),MATCH($L$1,products!$A$1:$G$1,0))</f>
        <v>25.874999999999996</v>
      </c>
      <c r="M544">
        <f t="shared" si="25"/>
        <v>103.49999999999999</v>
      </c>
      <c r="N544" t="str">
        <f t="shared" si="26"/>
        <v>Arabica</v>
      </c>
      <c r="O544" t="str">
        <f t="shared" si="27"/>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_xlfn.XLOOKUP(C545,customers!$A$2:$A$1001,customers!$B$2:$B$1001,0)</f>
        <v>Ilaire Sprakes</v>
      </c>
      <c r="G545" s="2" t="str">
        <f>_xlfn.XLOOKUP(C545,customers!$A$2:$A$1001,customers!$C$2:$C$1001,0)</f>
        <v>isprakesf3@spiegel.de</v>
      </c>
      <c r="H545" s="2" t="str">
        <f>_xlfn.XLOOKUP(orders!C545,customers!$A$2:$A$1001,customers!$G$2:$G$1001,0)</f>
        <v>United States</v>
      </c>
      <c r="I545" t="str">
        <f>INDEX(products!$A$1:$G$49,MATCH(orders!$D545,products!$A$1:$A$49,0),MATCH($I$1,products!$A$1:$G$1,0))</f>
        <v>Rob</v>
      </c>
      <c r="J545" t="str">
        <f>INDEX(products!$A$1:$G$49,MATCH(orders!$D545,products!$A$1:$A$49,0),MATCH($J$1,products!$A$1:$G$1,0))</f>
        <v>L</v>
      </c>
      <c r="K545" s="1">
        <f>INDEX(products!$A$1:$G$49,MATCH(orders!$D545,products!$A$1:$A$49,0),MATCH($K$1,products!$A$1:$G$1,0))</f>
        <v>2.5</v>
      </c>
      <c r="L545">
        <f>INDEX(products!$A$1:$G$49,MATCH(orders!$D545,products!$A$1:$A$49,0),MATCH($L$1,products!$A$1:$G$1,0))</f>
        <v>27.484999999999996</v>
      </c>
      <c r="M545">
        <f t="shared" si="25"/>
        <v>54.969999999999992</v>
      </c>
      <c r="N545" t="str">
        <f t="shared" si="26"/>
        <v>Robusta</v>
      </c>
      <c r="O545" t="str">
        <f t="shared" si="27"/>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_xlfn.XLOOKUP(C546,customers!$A$2:$A$1001,customers!$B$2:$B$1001,0)</f>
        <v>Heda Fromant</v>
      </c>
      <c r="G546" s="2" t="str">
        <f>_xlfn.XLOOKUP(C546,customers!$A$2:$A$1001,customers!$C$2:$C$1001,0)</f>
        <v>hfromantf4@ucsd.edu</v>
      </c>
      <c r="H546" s="2" t="str">
        <f>_xlfn.XLOOKUP(orders!C546,customers!$A$2:$A$1001,customers!$G$2:$G$1001,0)</f>
        <v>United States</v>
      </c>
      <c r="I546" t="str">
        <f>INDEX(products!$A$1:$G$49,MATCH(orders!$D546,products!$A$1:$A$49,0),MATCH($I$1,products!$A$1:$G$1,0))</f>
        <v>Ara</v>
      </c>
      <c r="J546" t="str">
        <f>INDEX(products!$A$1:$G$49,MATCH(orders!$D546,products!$A$1:$A$49,0),MATCH($J$1,products!$A$1:$G$1,0))</f>
        <v>L</v>
      </c>
      <c r="K546" s="1">
        <f>INDEX(products!$A$1:$G$49,MATCH(orders!$D546,products!$A$1:$A$49,0),MATCH($K$1,products!$A$1:$G$1,0))</f>
        <v>0.5</v>
      </c>
      <c r="L546">
        <f>INDEX(products!$A$1:$G$49,MATCH(orders!$D546,products!$A$1:$A$49,0),MATCH($L$1,products!$A$1:$G$1,0))</f>
        <v>7.77</v>
      </c>
      <c r="M546">
        <f t="shared" si="25"/>
        <v>15.54</v>
      </c>
      <c r="N546" t="str">
        <f t="shared" si="26"/>
        <v>Arabica</v>
      </c>
      <c r="O546" t="str">
        <f t="shared" si="27"/>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_xlfn.XLOOKUP(C547,customers!$A$2:$A$1001,customers!$B$2:$B$1001,0)</f>
        <v>Rufus Flear</v>
      </c>
      <c r="G547" s="2" t="str">
        <f>_xlfn.XLOOKUP(C547,customers!$A$2:$A$1001,customers!$C$2:$C$1001,0)</f>
        <v>rflearf5@artisteer.com</v>
      </c>
      <c r="H547" s="2" t="str">
        <f>_xlfn.XLOOKUP(orders!C547,customers!$A$2:$A$1001,customers!$G$2:$G$1001,0)</f>
        <v>United Kingdom</v>
      </c>
      <c r="I547" t="str">
        <f>INDEX(products!$A$1:$G$49,MATCH(orders!$D547,products!$A$1:$A$49,0),MATCH($I$1,products!$A$1:$G$1,0))</f>
        <v>Lib</v>
      </c>
      <c r="J547" t="str">
        <f>INDEX(products!$A$1:$G$49,MATCH(orders!$D547,products!$A$1:$A$49,0),MATCH($J$1,products!$A$1:$G$1,0))</f>
        <v>D</v>
      </c>
      <c r="K547" s="1">
        <f>INDEX(products!$A$1:$G$49,MATCH(orders!$D547,products!$A$1:$A$49,0),MATCH($K$1,products!$A$1:$G$1,0))</f>
        <v>0.2</v>
      </c>
      <c r="L547">
        <f>INDEX(products!$A$1:$G$49,MATCH(orders!$D547,products!$A$1:$A$49,0),MATCH($L$1,products!$A$1:$G$1,0))</f>
        <v>3.8849999999999998</v>
      </c>
      <c r="M547">
        <f t="shared" si="25"/>
        <v>15.54</v>
      </c>
      <c r="N547" t="str">
        <f t="shared" si="26"/>
        <v>Liberica</v>
      </c>
      <c r="O547" t="str">
        <f t="shared" si="27"/>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_xlfn.XLOOKUP(C548,customers!$A$2:$A$1001,customers!$B$2:$B$1001,0)</f>
        <v>Dom Milella</v>
      </c>
      <c r="G548" s="2">
        <f>_xlfn.XLOOKUP(C548,customers!$A$2:$A$1001,customers!$C$2:$C$1001,0)</f>
        <v>0</v>
      </c>
      <c r="H548" s="2" t="str">
        <f>_xlfn.XLOOKUP(orders!C548,customers!$A$2:$A$1001,customers!$G$2:$G$1001,0)</f>
        <v>Ireland</v>
      </c>
      <c r="I548" t="str">
        <f>INDEX(products!$A$1:$G$49,MATCH(orders!$D548,products!$A$1:$A$49,0),MATCH($I$1,products!$A$1:$G$1,0))</f>
        <v>Exc</v>
      </c>
      <c r="J548" t="str">
        <f>INDEX(products!$A$1:$G$49,MATCH(orders!$D548,products!$A$1:$A$49,0),MATCH($J$1,products!$A$1:$G$1,0))</f>
        <v>D</v>
      </c>
      <c r="K548" s="1">
        <f>INDEX(products!$A$1:$G$49,MATCH(orders!$D548,products!$A$1:$A$49,0),MATCH($K$1,products!$A$1:$G$1,0))</f>
        <v>2.5</v>
      </c>
      <c r="L548">
        <f>INDEX(products!$A$1:$G$49,MATCH(orders!$D548,products!$A$1:$A$49,0),MATCH($L$1,products!$A$1:$G$1,0))</f>
        <v>27.945</v>
      </c>
      <c r="M548">
        <f t="shared" si="25"/>
        <v>83.835000000000008</v>
      </c>
      <c r="N548" t="str">
        <f t="shared" si="26"/>
        <v>Excelsa</v>
      </c>
      <c r="O548" t="str">
        <f t="shared" si="27"/>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_xlfn.XLOOKUP(C549,customers!$A$2:$A$1001,customers!$B$2:$B$1001,0)</f>
        <v>Wilek Lightollers</v>
      </c>
      <c r="G549" s="2" t="str">
        <f>_xlfn.XLOOKUP(C549,customers!$A$2:$A$1001,customers!$C$2:$C$1001,0)</f>
        <v>wlightollersf9@baidu.com</v>
      </c>
      <c r="H549" s="2" t="str">
        <f>_xlfn.XLOOKUP(orders!C549,customers!$A$2:$A$1001,customers!$G$2:$G$1001,0)</f>
        <v>United States</v>
      </c>
      <c r="I549" t="str">
        <f>INDEX(products!$A$1:$G$49,MATCH(orders!$D549,products!$A$1:$A$49,0),MATCH($I$1,products!$A$1:$G$1,0))</f>
        <v>Rob</v>
      </c>
      <c r="J549" t="str">
        <f>INDEX(products!$A$1:$G$49,MATCH(orders!$D549,products!$A$1:$A$49,0),MATCH($J$1,products!$A$1:$G$1,0))</f>
        <v>L</v>
      </c>
      <c r="K549" s="1">
        <f>INDEX(products!$A$1:$G$49,MATCH(orders!$D549,products!$A$1:$A$49,0),MATCH($K$1,products!$A$1:$G$1,0))</f>
        <v>0.2</v>
      </c>
      <c r="L549">
        <f>INDEX(products!$A$1:$G$49,MATCH(orders!$D549,products!$A$1:$A$49,0),MATCH($L$1,products!$A$1:$G$1,0))</f>
        <v>3.5849999999999995</v>
      </c>
      <c r="M549">
        <f t="shared" si="25"/>
        <v>10.754999999999999</v>
      </c>
      <c r="N549" t="str">
        <f t="shared" si="26"/>
        <v>Robusta</v>
      </c>
      <c r="O549" t="str">
        <f t="shared" si="27"/>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_xlfn.XLOOKUP(C550,customers!$A$2:$A$1001,customers!$B$2:$B$1001,0)</f>
        <v>Bette-ann Munden</v>
      </c>
      <c r="G550" s="2" t="str">
        <f>_xlfn.XLOOKUP(C550,customers!$A$2:$A$1001,customers!$C$2:$C$1001,0)</f>
        <v>bmundenf8@elpais.com</v>
      </c>
      <c r="H550" s="2" t="str">
        <f>_xlfn.XLOOKUP(orders!C550,customers!$A$2:$A$1001,customers!$G$2:$G$1001,0)</f>
        <v>United States</v>
      </c>
      <c r="I550" t="str">
        <f>INDEX(products!$A$1:$G$49,MATCH(orders!$D550,products!$A$1:$A$49,0),MATCH($I$1,products!$A$1:$G$1,0))</f>
        <v>Exc</v>
      </c>
      <c r="J550" t="str">
        <f>INDEX(products!$A$1:$G$49,MATCH(orders!$D550,products!$A$1:$A$49,0),MATCH($J$1,products!$A$1:$G$1,0))</f>
        <v>L</v>
      </c>
      <c r="K550" s="1">
        <f>INDEX(products!$A$1:$G$49,MATCH(orders!$D550,products!$A$1:$A$49,0),MATCH($K$1,products!$A$1:$G$1,0))</f>
        <v>0.2</v>
      </c>
      <c r="L550">
        <f>INDEX(products!$A$1:$G$49,MATCH(orders!$D550,products!$A$1:$A$49,0),MATCH($L$1,products!$A$1:$G$1,0))</f>
        <v>4.4550000000000001</v>
      </c>
      <c r="M550">
        <f t="shared" si="25"/>
        <v>13.365</v>
      </c>
      <c r="N550" t="str">
        <f t="shared" si="26"/>
        <v>Excelsa</v>
      </c>
      <c r="O550" t="str">
        <f t="shared" si="27"/>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_xlfn.XLOOKUP(C551,customers!$A$2:$A$1001,customers!$B$2:$B$1001,0)</f>
        <v>Wilek Lightollers</v>
      </c>
      <c r="G551" s="2" t="str">
        <f>_xlfn.XLOOKUP(C551,customers!$A$2:$A$1001,customers!$C$2:$C$1001,0)</f>
        <v>wlightollersf9@baidu.com</v>
      </c>
      <c r="H551" s="2" t="str">
        <f>_xlfn.XLOOKUP(orders!C551,customers!$A$2:$A$1001,customers!$G$2:$G$1001,0)</f>
        <v>United States</v>
      </c>
      <c r="I551" t="str">
        <f>INDEX(products!$A$1:$G$49,MATCH(orders!$D551,products!$A$1:$A$49,0),MATCH($I$1,products!$A$1:$G$1,0))</f>
        <v>Exc</v>
      </c>
      <c r="J551" t="str">
        <f>INDEX(products!$A$1:$G$49,MATCH(orders!$D551,products!$A$1:$A$49,0),MATCH($J$1,products!$A$1:$G$1,0))</f>
        <v>L</v>
      </c>
      <c r="K551" s="1">
        <f>INDEX(products!$A$1:$G$49,MATCH(orders!$D551,products!$A$1:$A$49,0),MATCH($K$1,products!$A$1:$G$1,0))</f>
        <v>0.2</v>
      </c>
      <c r="L551">
        <f>INDEX(products!$A$1:$G$49,MATCH(orders!$D551,products!$A$1:$A$49,0),MATCH($L$1,products!$A$1:$G$1,0))</f>
        <v>4.4550000000000001</v>
      </c>
      <c r="M551">
        <f t="shared" si="25"/>
        <v>17.82</v>
      </c>
      <c r="N551" t="str">
        <f t="shared" si="26"/>
        <v>Excelsa</v>
      </c>
      <c r="O551" t="str">
        <f t="shared" si="27"/>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_xlfn.XLOOKUP(C552,customers!$A$2:$A$1001,customers!$B$2:$B$1001,0)</f>
        <v>Nick Brakespear</v>
      </c>
      <c r="G552" s="2" t="str">
        <f>_xlfn.XLOOKUP(C552,customers!$A$2:$A$1001,customers!$C$2:$C$1001,0)</f>
        <v>nbrakespearfa@rediff.com</v>
      </c>
      <c r="H552" s="2" t="str">
        <f>_xlfn.XLOOKUP(orders!C552,customers!$A$2:$A$1001,customers!$G$2:$G$1001,0)</f>
        <v>United States</v>
      </c>
      <c r="I552" t="str">
        <f>INDEX(products!$A$1:$G$49,MATCH(orders!$D552,products!$A$1:$A$49,0),MATCH($I$1,products!$A$1:$G$1,0))</f>
        <v>Lib</v>
      </c>
      <c r="J552" t="str">
        <f>INDEX(products!$A$1:$G$49,MATCH(orders!$D552,products!$A$1:$A$49,0),MATCH($J$1,products!$A$1:$G$1,0))</f>
        <v>D</v>
      </c>
      <c r="K552" s="1">
        <f>INDEX(products!$A$1:$G$49,MATCH(orders!$D552,products!$A$1:$A$49,0),MATCH($K$1,products!$A$1:$G$1,0))</f>
        <v>0.2</v>
      </c>
      <c r="L552">
        <f>INDEX(products!$A$1:$G$49,MATCH(orders!$D552,products!$A$1:$A$49,0),MATCH($L$1,products!$A$1:$G$1,0))</f>
        <v>3.8849999999999998</v>
      </c>
      <c r="M552">
        <f t="shared" si="25"/>
        <v>23.31</v>
      </c>
      <c r="N552" t="str">
        <f t="shared" si="26"/>
        <v>Liberica</v>
      </c>
      <c r="O552" t="str">
        <f t="shared" si="27"/>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_xlfn.XLOOKUP(C553,customers!$A$2:$A$1001,customers!$B$2:$B$1001,0)</f>
        <v>Malynda Glawsop</v>
      </c>
      <c r="G553" s="2" t="str">
        <f>_xlfn.XLOOKUP(C553,customers!$A$2:$A$1001,customers!$C$2:$C$1001,0)</f>
        <v>mglawsopfb@reverbnation.com</v>
      </c>
      <c r="H553" s="2" t="str">
        <f>_xlfn.XLOOKUP(orders!C553,customers!$A$2:$A$1001,customers!$G$2:$G$1001,0)</f>
        <v>United States</v>
      </c>
      <c r="I553" t="str">
        <f>INDEX(products!$A$1:$G$49,MATCH(orders!$D553,products!$A$1:$A$49,0),MATCH($I$1,products!$A$1:$G$1,0))</f>
        <v>Exc</v>
      </c>
      <c r="J553" t="str">
        <f>INDEX(products!$A$1:$G$49,MATCH(orders!$D553,products!$A$1:$A$49,0),MATCH($J$1,products!$A$1:$G$1,0))</f>
        <v>D</v>
      </c>
      <c r="K553" s="1">
        <f>INDEX(products!$A$1:$G$49,MATCH(orders!$D553,products!$A$1:$A$49,0),MATCH($K$1,products!$A$1:$G$1,0))</f>
        <v>0.2</v>
      </c>
      <c r="L553">
        <f>INDEX(products!$A$1:$G$49,MATCH(orders!$D553,products!$A$1:$A$49,0),MATCH($L$1,products!$A$1:$G$1,0))</f>
        <v>3.645</v>
      </c>
      <c r="M553">
        <f t="shared" si="25"/>
        <v>7.29</v>
      </c>
      <c r="N553" t="str">
        <f t="shared" si="26"/>
        <v>Excelsa</v>
      </c>
      <c r="O553" t="str">
        <f t="shared" si="27"/>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_xlfn.XLOOKUP(C554,customers!$A$2:$A$1001,customers!$B$2:$B$1001,0)</f>
        <v>Granville Alberts</v>
      </c>
      <c r="G554" s="2" t="str">
        <f>_xlfn.XLOOKUP(C554,customers!$A$2:$A$1001,customers!$C$2:$C$1001,0)</f>
        <v>galbertsfc@etsy.com</v>
      </c>
      <c r="H554" s="2" t="str">
        <f>_xlfn.XLOOKUP(orders!C554,customers!$A$2:$A$1001,customers!$G$2:$G$1001,0)</f>
        <v>United Kingdom</v>
      </c>
      <c r="I554" t="str">
        <f>INDEX(products!$A$1:$G$49,MATCH(orders!$D554,products!$A$1:$A$49,0),MATCH($I$1,products!$A$1:$G$1,0))</f>
        <v>Exc</v>
      </c>
      <c r="J554" t="str">
        <f>INDEX(products!$A$1:$G$49,MATCH(orders!$D554,products!$A$1:$A$49,0),MATCH($J$1,products!$A$1:$G$1,0))</f>
        <v>L</v>
      </c>
      <c r="K554" s="1">
        <f>INDEX(products!$A$1:$G$49,MATCH(orders!$D554,products!$A$1:$A$49,0),MATCH($K$1,products!$A$1:$G$1,0))</f>
        <v>0.2</v>
      </c>
      <c r="L554">
        <f>INDEX(products!$A$1:$G$49,MATCH(orders!$D554,products!$A$1:$A$49,0),MATCH($L$1,products!$A$1:$G$1,0))</f>
        <v>4.4550000000000001</v>
      </c>
      <c r="M554">
        <f t="shared" si="25"/>
        <v>17.82</v>
      </c>
      <c r="N554" t="str">
        <f t="shared" si="26"/>
        <v>Excelsa</v>
      </c>
      <c r="O554" t="str">
        <f t="shared" si="27"/>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_xlfn.XLOOKUP(C555,customers!$A$2:$A$1001,customers!$B$2:$B$1001,0)</f>
        <v>Vasily Polglase</v>
      </c>
      <c r="G555" s="2" t="str">
        <f>_xlfn.XLOOKUP(C555,customers!$A$2:$A$1001,customers!$C$2:$C$1001,0)</f>
        <v>vpolglasefd@about.me</v>
      </c>
      <c r="H555" s="2" t="str">
        <f>_xlfn.XLOOKUP(orders!C555,customers!$A$2:$A$1001,customers!$G$2:$G$1001,0)</f>
        <v>United States</v>
      </c>
      <c r="I555" t="str">
        <f>INDEX(products!$A$1:$G$49,MATCH(orders!$D555,products!$A$1:$A$49,0),MATCH($I$1,products!$A$1:$G$1,0))</f>
        <v>Exc</v>
      </c>
      <c r="J555" t="str">
        <f>INDEX(products!$A$1:$G$49,MATCH(orders!$D555,products!$A$1:$A$49,0),MATCH($J$1,products!$A$1:$G$1,0))</f>
        <v>M</v>
      </c>
      <c r="K555" s="1">
        <f>INDEX(products!$A$1:$G$49,MATCH(orders!$D555,products!$A$1:$A$49,0),MATCH($K$1,products!$A$1:$G$1,0))</f>
        <v>1</v>
      </c>
      <c r="L555">
        <f>INDEX(products!$A$1:$G$49,MATCH(orders!$D555,products!$A$1:$A$49,0),MATCH($L$1,products!$A$1:$G$1,0))</f>
        <v>13.75</v>
      </c>
      <c r="M555">
        <f t="shared" si="25"/>
        <v>68.75</v>
      </c>
      <c r="N555" t="str">
        <f t="shared" si="26"/>
        <v>Excelsa</v>
      </c>
      <c r="O555" t="str">
        <f t="shared" si="27"/>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_xlfn.XLOOKUP(C556,customers!$A$2:$A$1001,customers!$B$2:$B$1001,0)</f>
        <v>Madelaine Sharples</v>
      </c>
      <c r="G556" s="2">
        <f>_xlfn.XLOOKUP(C556,customers!$A$2:$A$1001,customers!$C$2:$C$1001,0)</f>
        <v>0</v>
      </c>
      <c r="H556" s="2" t="str">
        <f>_xlfn.XLOOKUP(orders!C556,customers!$A$2:$A$1001,customers!$G$2:$G$1001,0)</f>
        <v>United Kingdom</v>
      </c>
      <c r="I556" t="str">
        <f>INDEX(products!$A$1:$G$49,MATCH(orders!$D556,products!$A$1:$A$49,0),MATCH($I$1,products!$A$1:$G$1,0))</f>
        <v>Rob</v>
      </c>
      <c r="J556" t="str">
        <f>INDEX(products!$A$1:$G$49,MATCH(orders!$D556,products!$A$1:$A$49,0),MATCH($J$1,products!$A$1:$G$1,0))</f>
        <v>L</v>
      </c>
      <c r="K556" s="1">
        <f>INDEX(products!$A$1:$G$49,MATCH(orders!$D556,products!$A$1:$A$49,0),MATCH($K$1,products!$A$1:$G$1,0))</f>
        <v>2.5</v>
      </c>
      <c r="L556">
        <f>INDEX(products!$A$1:$G$49,MATCH(orders!$D556,products!$A$1:$A$49,0),MATCH($L$1,products!$A$1:$G$1,0))</f>
        <v>27.484999999999996</v>
      </c>
      <c r="M556">
        <f t="shared" si="25"/>
        <v>54.969999999999992</v>
      </c>
      <c r="N556" t="str">
        <f t="shared" si="26"/>
        <v>Robusta</v>
      </c>
      <c r="O556" t="str">
        <f t="shared" si="27"/>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_xlfn.XLOOKUP(C557,customers!$A$2:$A$1001,customers!$B$2:$B$1001,0)</f>
        <v>Sigfrid Busch</v>
      </c>
      <c r="G557" s="2" t="str">
        <f>_xlfn.XLOOKUP(C557,customers!$A$2:$A$1001,customers!$C$2:$C$1001,0)</f>
        <v>sbuschff@so-net.ne.jp</v>
      </c>
      <c r="H557" s="2" t="str">
        <f>_xlfn.XLOOKUP(orders!C557,customers!$A$2:$A$1001,customers!$G$2:$G$1001,0)</f>
        <v>Ireland</v>
      </c>
      <c r="I557" t="str">
        <f>INDEX(products!$A$1:$G$49,MATCH(orders!$D557,products!$A$1:$A$49,0),MATCH($I$1,products!$A$1:$G$1,0))</f>
        <v>Exc</v>
      </c>
      <c r="J557" t="str">
        <f>INDEX(products!$A$1:$G$49,MATCH(orders!$D557,products!$A$1:$A$49,0),MATCH($J$1,products!$A$1:$G$1,0))</f>
        <v>M</v>
      </c>
      <c r="K557" s="1">
        <f>INDEX(products!$A$1:$G$49,MATCH(orders!$D557,products!$A$1:$A$49,0),MATCH($K$1,products!$A$1:$G$1,0))</f>
        <v>1</v>
      </c>
      <c r="L557">
        <f>INDEX(products!$A$1:$G$49,MATCH(orders!$D557,products!$A$1:$A$49,0),MATCH($L$1,products!$A$1:$G$1,0))</f>
        <v>13.75</v>
      </c>
      <c r="M557">
        <f t="shared" si="25"/>
        <v>82.5</v>
      </c>
      <c r="N557" t="str">
        <f t="shared" si="26"/>
        <v>Excelsa</v>
      </c>
      <c r="O557" t="str">
        <f t="shared" si="27"/>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_xlfn.XLOOKUP(C558,customers!$A$2:$A$1001,customers!$B$2:$B$1001,0)</f>
        <v>Cissiee Raisbeck</v>
      </c>
      <c r="G558" s="2" t="str">
        <f>_xlfn.XLOOKUP(C558,customers!$A$2:$A$1001,customers!$C$2:$C$1001,0)</f>
        <v>craisbeckfg@webnode.com</v>
      </c>
      <c r="H558" s="2" t="str">
        <f>_xlfn.XLOOKUP(orders!C558,customers!$A$2:$A$1001,customers!$G$2:$G$1001,0)</f>
        <v>United States</v>
      </c>
      <c r="I558" t="str">
        <f>INDEX(products!$A$1:$G$49,MATCH(orders!$D558,products!$A$1:$A$49,0),MATCH($I$1,products!$A$1:$G$1,0))</f>
        <v>Lib</v>
      </c>
      <c r="J558" t="str">
        <f>INDEX(products!$A$1:$G$49,MATCH(orders!$D558,products!$A$1:$A$49,0),MATCH($J$1,products!$A$1:$G$1,0))</f>
        <v>M</v>
      </c>
      <c r="K558" s="1">
        <f>INDEX(products!$A$1:$G$49,MATCH(orders!$D558,products!$A$1:$A$49,0),MATCH($K$1,products!$A$1:$G$1,0))</f>
        <v>0.2</v>
      </c>
      <c r="L558">
        <f>INDEX(products!$A$1:$G$49,MATCH(orders!$D558,products!$A$1:$A$49,0),MATCH($L$1,products!$A$1:$G$1,0))</f>
        <v>4.3650000000000002</v>
      </c>
      <c r="M558">
        <f t="shared" si="25"/>
        <v>8.73</v>
      </c>
      <c r="N558" t="str">
        <f t="shared" si="26"/>
        <v>Liberica</v>
      </c>
      <c r="O558" t="str">
        <f t="shared" si="27"/>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_xlfn.XLOOKUP(C559,customers!$A$2:$A$1001,customers!$B$2:$B$1001,0)</f>
        <v>Marja Urion</v>
      </c>
      <c r="G559" s="2" t="str">
        <f>_xlfn.XLOOKUP(C559,customers!$A$2:$A$1001,customers!$C$2:$C$1001,0)</f>
        <v>murione5@alexa.com</v>
      </c>
      <c r="H559" s="2" t="str">
        <f>_xlfn.XLOOKUP(orders!C559,customers!$A$2:$A$1001,customers!$G$2:$G$1001,0)</f>
        <v>Ireland</v>
      </c>
      <c r="I559" t="str">
        <f>INDEX(products!$A$1:$G$49,MATCH(orders!$D559,products!$A$1:$A$49,0),MATCH($I$1,products!$A$1:$G$1,0))</f>
        <v>Exc</v>
      </c>
      <c r="J559" t="str">
        <f>INDEX(products!$A$1:$G$49,MATCH(orders!$D559,products!$A$1:$A$49,0),MATCH($J$1,products!$A$1:$G$1,0))</f>
        <v>L</v>
      </c>
      <c r="K559" s="1">
        <f>INDEX(products!$A$1:$G$49,MATCH(orders!$D559,products!$A$1:$A$49,0),MATCH($K$1,products!$A$1:$G$1,0))</f>
        <v>1</v>
      </c>
      <c r="L559">
        <f>INDEX(products!$A$1:$G$49,MATCH(orders!$D559,products!$A$1:$A$49,0),MATCH($L$1,products!$A$1:$G$1,0))</f>
        <v>14.85</v>
      </c>
      <c r="M559">
        <f t="shared" si="25"/>
        <v>59.4</v>
      </c>
      <c r="N559" t="str">
        <f t="shared" si="26"/>
        <v>Excelsa</v>
      </c>
      <c r="O559" t="str">
        <f t="shared" si="27"/>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_xlfn.XLOOKUP(C560,customers!$A$2:$A$1001,customers!$B$2:$B$1001,0)</f>
        <v>Kenton Wetherick</v>
      </c>
      <c r="G560" s="2">
        <f>_xlfn.XLOOKUP(C560,customers!$A$2:$A$1001,customers!$C$2:$C$1001,0)</f>
        <v>0</v>
      </c>
      <c r="H560" s="2" t="str">
        <f>_xlfn.XLOOKUP(orders!C560,customers!$A$2:$A$1001,customers!$G$2:$G$1001,0)</f>
        <v>United States</v>
      </c>
      <c r="I560" t="str">
        <f>INDEX(products!$A$1:$G$49,MATCH(orders!$D560,products!$A$1:$A$49,0),MATCH($I$1,products!$A$1:$G$1,0))</f>
        <v>Lib</v>
      </c>
      <c r="J560" t="str">
        <f>INDEX(products!$A$1:$G$49,MATCH(orders!$D560,products!$A$1:$A$49,0),MATCH($J$1,products!$A$1:$G$1,0))</f>
        <v>D</v>
      </c>
      <c r="K560" s="1">
        <f>INDEX(products!$A$1:$G$49,MATCH(orders!$D560,products!$A$1:$A$49,0),MATCH($K$1,products!$A$1:$G$1,0))</f>
        <v>0.2</v>
      </c>
      <c r="L560">
        <f>INDEX(products!$A$1:$G$49,MATCH(orders!$D560,products!$A$1:$A$49,0),MATCH($L$1,products!$A$1:$G$1,0))</f>
        <v>3.8849999999999998</v>
      </c>
      <c r="M560">
        <f t="shared" si="25"/>
        <v>15.54</v>
      </c>
      <c r="N560" t="str">
        <f t="shared" si="26"/>
        <v>Liberica</v>
      </c>
      <c r="O560" t="str">
        <f t="shared" si="27"/>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_xlfn.XLOOKUP(C561,customers!$A$2:$A$1001,customers!$B$2:$B$1001,0)</f>
        <v>Reamonn Aynold</v>
      </c>
      <c r="G561" s="2" t="str">
        <f>_xlfn.XLOOKUP(C561,customers!$A$2:$A$1001,customers!$C$2:$C$1001,0)</f>
        <v>raynoldfj@ustream.tv</v>
      </c>
      <c r="H561" s="2" t="str">
        <f>_xlfn.XLOOKUP(orders!C561,customers!$A$2:$A$1001,customers!$G$2:$G$1001,0)</f>
        <v>United States</v>
      </c>
      <c r="I561" t="str">
        <f>INDEX(products!$A$1:$G$49,MATCH(orders!$D561,products!$A$1:$A$49,0),MATCH($I$1,products!$A$1:$G$1,0))</f>
        <v>Ara</v>
      </c>
      <c r="J561" t="str">
        <f>INDEX(products!$A$1:$G$49,MATCH(orders!$D561,products!$A$1:$A$49,0),MATCH($J$1,products!$A$1:$G$1,0))</f>
        <v>L</v>
      </c>
      <c r="K561" s="1">
        <f>INDEX(products!$A$1:$G$49,MATCH(orders!$D561,products!$A$1:$A$49,0),MATCH($K$1,products!$A$1:$G$1,0))</f>
        <v>1</v>
      </c>
      <c r="L561">
        <f>INDEX(products!$A$1:$G$49,MATCH(orders!$D561,products!$A$1:$A$49,0),MATCH($L$1,products!$A$1:$G$1,0))</f>
        <v>12.95</v>
      </c>
      <c r="M561">
        <f t="shared" si="25"/>
        <v>38.849999999999994</v>
      </c>
      <c r="N561" t="str">
        <f t="shared" si="26"/>
        <v>Arabica</v>
      </c>
      <c r="O561" t="str">
        <f t="shared" si="27"/>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_xlfn.XLOOKUP(C562,customers!$A$2:$A$1001,customers!$B$2:$B$1001,0)</f>
        <v>Hatty Dovydenas</v>
      </c>
      <c r="G562" s="2">
        <f>_xlfn.XLOOKUP(C562,customers!$A$2:$A$1001,customers!$C$2:$C$1001,0)</f>
        <v>0</v>
      </c>
      <c r="H562" s="2" t="str">
        <f>_xlfn.XLOOKUP(orders!C562,customers!$A$2:$A$1001,customers!$G$2:$G$1001,0)</f>
        <v>United States</v>
      </c>
      <c r="I562" t="str">
        <f>INDEX(products!$A$1:$G$49,MATCH(orders!$D562,products!$A$1:$A$49,0),MATCH($I$1,products!$A$1:$G$1,0))</f>
        <v>Exc</v>
      </c>
      <c r="J562" t="str">
        <f>INDEX(products!$A$1:$G$49,MATCH(orders!$D562,products!$A$1:$A$49,0),MATCH($J$1,products!$A$1:$G$1,0))</f>
        <v>M</v>
      </c>
      <c r="K562" s="1">
        <f>INDEX(products!$A$1:$G$49,MATCH(orders!$D562,products!$A$1:$A$49,0),MATCH($K$1,products!$A$1:$G$1,0))</f>
        <v>2.5</v>
      </c>
      <c r="L562">
        <f>INDEX(products!$A$1:$G$49,MATCH(orders!$D562,products!$A$1:$A$49,0),MATCH($L$1,products!$A$1:$G$1,0))</f>
        <v>31.624999999999996</v>
      </c>
      <c r="M562">
        <f t="shared" si="25"/>
        <v>189.74999999999997</v>
      </c>
      <c r="N562" t="str">
        <f t="shared" si="26"/>
        <v>Excelsa</v>
      </c>
      <c r="O562" t="str">
        <f t="shared" si="27"/>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_xlfn.XLOOKUP(C563,customers!$A$2:$A$1001,customers!$B$2:$B$1001,0)</f>
        <v>Nathaniel Bloxland</v>
      </c>
      <c r="G563" s="2">
        <f>_xlfn.XLOOKUP(C563,customers!$A$2:$A$1001,customers!$C$2:$C$1001,0)</f>
        <v>0</v>
      </c>
      <c r="H563" s="2" t="str">
        <f>_xlfn.XLOOKUP(orders!C563,customers!$A$2:$A$1001,customers!$G$2:$G$1001,0)</f>
        <v>Ireland</v>
      </c>
      <c r="I563" t="str">
        <f>INDEX(products!$A$1:$G$49,MATCH(orders!$D563,products!$A$1:$A$49,0),MATCH($I$1,products!$A$1:$G$1,0))</f>
        <v>Ara</v>
      </c>
      <c r="J563" t="str">
        <f>INDEX(products!$A$1:$G$49,MATCH(orders!$D563,products!$A$1:$A$49,0),MATCH($J$1,products!$A$1:$G$1,0))</f>
        <v>D</v>
      </c>
      <c r="K563" s="1">
        <f>INDEX(products!$A$1:$G$49,MATCH(orders!$D563,products!$A$1:$A$49,0),MATCH($K$1,products!$A$1:$G$1,0))</f>
        <v>0.2</v>
      </c>
      <c r="L563">
        <f>INDEX(products!$A$1:$G$49,MATCH(orders!$D563,products!$A$1:$A$49,0),MATCH($L$1,products!$A$1:$G$1,0))</f>
        <v>2.9849999999999999</v>
      </c>
      <c r="M563">
        <f t="shared" si="25"/>
        <v>17.91</v>
      </c>
      <c r="N563" t="str">
        <f t="shared" si="26"/>
        <v>Arabica</v>
      </c>
      <c r="O563" t="str">
        <f t="shared" si="27"/>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_xlfn.XLOOKUP(C564,customers!$A$2:$A$1001,customers!$B$2:$B$1001,0)</f>
        <v>Brendan Grece</v>
      </c>
      <c r="G564" s="2" t="str">
        <f>_xlfn.XLOOKUP(C564,customers!$A$2:$A$1001,customers!$C$2:$C$1001,0)</f>
        <v>bgrecefm@naver.com</v>
      </c>
      <c r="H564" s="2" t="str">
        <f>_xlfn.XLOOKUP(orders!C564,customers!$A$2:$A$1001,customers!$G$2:$G$1001,0)</f>
        <v>United Kingdom</v>
      </c>
      <c r="I564" t="str">
        <f>INDEX(products!$A$1:$G$49,MATCH(orders!$D564,products!$A$1:$A$49,0),MATCH($I$1,products!$A$1:$G$1,0))</f>
        <v>Lib</v>
      </c>
      <c r="J564" t="str">
        <f>INDEX(products!$A$1:$G$49,MATCH(orders!$D564,products!$A$1:$A$49,0),MATCH($J$1,products!$A$1:$G$1,0))</f>
        <v>L</v>
      </c>
      <c r="K564" s="1">
        <f>INDEX(products!$A$1:$G$49,MATCH(orders!$D564,products!$A$1:$A$49,0),MATCH($K$1,products!$A$1:$G$1,0))</f>
        <v>0.2</v>
      </c>
      <c r="L564">
        <f>INDEX(products!$A$1:$G$49,MATCH(orders!$D564,products!$A$1:$A$49,0),MATCH($L$1,products!$A$1:$G$1,0))</f>
        <v>4.7549999999999999</v>
      </c>
      <c r="M564">
        <f t="shared" si="25"/>
        <v>28.53</v>
      </c>
      <c r="N564" t="str">
        <f t="shared" si="26"/>
        <v>Liberica</v>
      </c>
      <c r="O564" t="str">
        <f t="shared" si="27"/>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_xlfn.XLOOKUP(C565,customers!$A$2:$A$1001,customers!$B$2:$B$1001,0)</f>
        <v>Don Flintiff</v>
      </c>
      <c r="G565" s="2" t="str">
        <f>_xlfn.XLOOKUP(C565,customers!$A$2:$A$1001,customers!$C$2:$C$1001,0)</f>
        <v>dflintiffg1@e-recht24.de</v>
      </c>
      <c r="H565" s="2" t="str">
        <f>_xlfn.XLOOKUP(orders!C565,customers!$A$2:$A$1001,customers!$G$2:$G$1001,0)</f>
        <v>United Kingdom</v>
      </c>
      <c r="I565" t="str">
        <f>INDEX(products!$A$1:$G$49,MATCH(orders!$D565,products!$A$1:$A$49,0),MATCH($I$1,products!$A$1:$G$1,0))</f>
        <v>Exc</v>
      </c>
      <c r="J565" t="str">
        <f>INDEX(products!$A$1:$G$49,MATCH(orders!$D565,products!$A$1:$A$49,0),MATCH($J$1,products!$A$1:$G$1,0))</f>
        <v>M</v>
      </c>
      <c r="K565" s="1">
        <f>INDEX(products!$A$1:$G$49,MATCH(orders!$D565,products!$A$1:$A$49,0),MATCH($K$1,products!$A$1:$G$1,0))</f>
        <v>1</v>
      </c>
      <c r="L565">
        <f>INDEX(products!$A$1:$G$49,MATCH(orders!$D565,products!$A$1:$A$49,0),MATCH($L$1,products!$A$1:$G$1,0))</f>
        <v>13.75</v>
      </c>
      <c r="M565">
        <f t="shared" si="25"/>
        <v>82.5</v>
      </c>
      <c r="N565" t="str">
        <f t="shared" si="26"/>
        <v>Excelsa</v>
      </c>
      <c r="O565" t="str">
        <f t="shared" si="27"/>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_xlfn.XLOOKUP(C566,customers!$A$2:$A$1001,customers!$B$2:$B$1001,0)</f>
        <v>Abbe Thys</v>
      </c>
      <c r="G566" s="2" t="str">
        <f>_xlfn.XLOOKUP(C566,customers!$A$2:$A$1001,customers!$C$2:$C$1001,0)</f>
        <v>athysfo@cdc.gov</v>
      </c>
      <c r="H566" s="2" t="str">
        <f>_xlfn.XLOOKUP(orders!C566,customers!$A$2:$A$1001,customers!$G$2:$G$1001,0)</f>
        <v>United States</v>
      </c>
      <c r="I566" t="str">
        <f>INDEX(products!$A$1:$G$49,MATCH(orders!$D566,products!$A$1:$A$49,0),MATCH($I$1,products!$A$1:$G$1,0))</f>
        <v>Rob</v>
      </c>
      <c r="J566" t="str">
        <f>INDEX(products!$A$1:$G$49,MATCH(orders!$D566,products!$A$1:$A$49,0),MATCH($J$1,products!$A$1:$G$1,0))</f>
        <v>L</v>
      </c>
      <c r="K566" s="1">
        <f>INDEX(products!$A$1:$G$49,MATCH(orders!$D566,products!$A$1:$A$49,0),MATCH($K$1,products!$A$1:$G$1,0))</f>
        <v>0.5</v>
      </c>
      <c r="L566">
        <f>INDEX(products!$A$1:$G$49,MATCH(orders!$D566,products!$A$1:$A$49,0),MATCH($L$1,products!$A$1:$G$1,0))</f>
        <v>7.169999999999999</v>
      </c>
      <c r="M566">
        <f t="shared" si="25"/>
        <v>14.339999999999998</v>
      </c>
      <c r="N566" t="str">
        <f t="shared" si="26"/>
        <v>Robusta</v>
      </c>
      <c r="O566" t="str">
        <f t="shared" si="27"/>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_xlfn.XLOOKUP(C567,customers!$A$2:$A$1001,customers!$B$2:$B$1001,0)</f>
        <v>Jackquelin Chugg</v>
      </c>
      <c r="G567" s="2" t="str">
        <f>_xlfn.XLOOKUP(C567,customers!$A$2:$A$1001,customers!$C$2:$C$1001,0)</f>
        <v>jchuggfp@about.me</v>
      </c>
      <c r="H567" s="2" t="str">
        <f>_xlfn.XLOOKUP(orders!C567,customers!$A$2:$A$1001,customers!$G$2:$G$1001,0)</f>
        <v>United States</v>
      </c>
      <c r="I567" t="str">
        <f>INDEX(products!$A$1:$G$49,MATCH(orders!$D567,products!$A$1:$A$49,0),MATCH($I$1,products!$A$1:$G$1,0))</f>
        <v>Rob</v>
      </c>
      <c r="J567" t="str">
        <f>INDEX(products!$A$1:$G$49,MATCH(orders!$D567,products!$A$1:$A$49,0),MATCH($J$1,products!$A$1:$G$1,0))</f>
        <v>D</v>
      </c>
      <c r="K567" s="1">
        <f>INDEX(products!$A$1:$G$49,MATCH(orders!$D567,products!$A$1:$A$49,0),MATCH($K$1,products!$A$1:$G$1,0))</f>
        <v>2.5</v>
      </c>
      <c r="L567">
        <f>INDEX(products!$A$1:$G$49,MATCH(orders!$D567,products!$A$1:$A$49,0),MATCH($L$1,products!$A$1:$G$1,0))</f>
        <v>20.584999999999997</v>
      </c>
      <c r="M567">
        <f t="shared" si="25"/>
        <v>82.339999999999989</v>
      </c>
      <c r="N567" t="str">
        <f t="shared" si="26"/>
        <v>Robusta</v>
      </c>
      <c r="O567" t="str">
        <f t="shared" si="27"/>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_xlfn.XLOOKUP(C568,customers!$A$2:$A$1001,customers!$B$2:$B$1001,0)</f>
        <v>Audra Kelston</v>
      </c>
      <c r="G568" s="2" t="str">
        <f>_xlfn.XLOOKUP(C568,customers!$A$2:$A$1001,customers!$C$2:$C$1001,0)</f>
        <v>akelstonfq@sakura.ne.jp</v>
      </c>
      <c r="H568" s="2" t="str">
        <f>_xlfn.XLOOKUP(orders!C568,customers!$A$2:$A$1001,customers!$G$2:$G$1001,0)</f>
        <v>United States</v>
      </c>
      <c r="I568" t="str">
        <f>INDEX(products!$A$1:$G$49,MATCH(orders!$D568,products!$A$1:$A$49,0),MATCH($I$1,products!$A$1:$G$1,0))</f>
        <v>Ara</v>
      </c>
      <c r="J568" t="str">
        <f>INDEX(products!$A$1:$G$49,MATCH(orders!$D568,products!$A$1:$A$49,0),MATCH($J$1,products!$A$1:$G$1,0))</f>
        <v>M</v>
      </c>
      <c r="K568" s="1">
        <f>INDEX(products!$A$1:$G$49,MATCH(orders!$D568,products!$A$1:$A$49,0),MATCH($K$1,products!$A$1:$G$1,0))</f>
        <v>0.2</v>
      </c>
      <c r="L568">
        <f>INDEX(products!$A$1:$G$49,MATCH(orders!$D568,products!$A$1:$A$49,0),MATCH($L$1,products!$A$1:$G$1,0))</f>
        <v>3.375</v>
      </c>
      <c r="M568">
        <f t="shared" si="25"/>
        <v>20.25</v>
      </c>
      <c r="N568" t="str">
        <f t="shared" si="26"/>
        <v>Arabica</v>
      </c>
      <c r="O568" t="str">
        <f t="shared" si="27"/>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_xlfn.XLOOKUP(C569,customers!$A$2:$A$1001,customers!$B$2:$B$1001,0)</f>
        <v>Elvina Angel</v>
      </c>
      <c r="G569" s="2">
        <f>_xlfn.XLOOKUP(C569,customers!$A$2:$A$1001,customers!$C$2:$C$1001,0)</f>
        <v>0</v>
      </c>
      <c r="H569" s="2" t="str">
        <f>_xlfn.XLOOKUP(orders!C569,customers!$A$2:$A$1001,customers!$G$2:$G$1001,0)</f>
        <v>Ireland</v>
      </c>
      <c r="I569" t="str">
        <f>INDEX(products!$A$1:$G$49,MATCH(orders!$D569,products!$A$1:$A$49,0),MATCH($I$1,products!$A$1:$G$1,0))</f>
        <v>Rob</v>
      </c>
      <c r="J569" t="str">
        <f>INDEX(products!$A$1:$G$49,MATCH(orders!$D569,products!$A$1:$A$49,0),MATCH($J$1,products!$A$1:$G$1,0))</f>
        <v>L</v>
      </c>
      <c r="K569" s="1">
        <f>INDEX(products!$A$1:$G$49,MATCH(orders!$D569,products!$A$1:$A$49,0),MATCH($K$1,products!$A$1:$G$1,0))</f>
        <v>2.5</v>
      </c>
      <c r="L569">
        <f>INDEX(products!$A$1:$G$49,MATCH(orders!$D569,products!$A$1:$A$49,0),MATCH($L$1,products!$A$1:$G$1,0))</f>
        <v>27.484999999999996</v>
      </c>
      <c r="M569">
        <f t="shared" si="25"/>
        <v>164.90999999999997</v>
      </c>
      <c r="N569" t="str">
        <f t="shared" si="26"/>
        <v>Robusta</v>
      </c>
      <c r="O569" t="str">
        <f t="shared" si="27"/>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_xlfn.XLOOKUP(C570,customers!$A$2:$A$1001,customers!$B$2:$B$1001,0)</f>
        <v>Claiborne Mottram</v>
      </c>
      <c r="G570" s="2" t="str">
        <f>_xlfn.XLOOKUP(C570,customers!$A$2:$A$1001,customers!$C$2:$C$1001,0)</f>
        <v>cmottramfs@harvard.edu</v>
      </c>
      <c r="H570" s="2" t="str">
        <f>_xlfn.XLOOKUP(orders!C570,customers!$A$2:$A$1001,customers!$G$2:$G$1001,0)</f>
        <v>United States</v>
      </c>
      <c r="I570" t="str">
        <f>INDEX(products!$A$1:$G$49,MATCH(orders!$D570,products!$A$1:$A$49,0),MATCH($I$1,products!$A$1:$G$1,0))</f>
        <v>Lib</v>
      </c>
      <c r="J570" t="str">
        <f>INDEX(products!$A$1:$G$49,MATCH(orders!$D570,products!$A$1:$A$49,0),MATCH($J$1,products!$A$1:$G$1,0))</f>
        <v>L</v>
      </c>
      <c r="K570" s="1">
        <f>INDEX(products!$A$1:$G$49,MATCH(orders!$D570,products!$A$1:$A$49,0),MATCH($K$1,products!$A$1:$G$1,0))</f>
        <v>0.2</v>
      </c>
      <c r="L570">
        <f>INDEX(products!$A$1:$G$49,MATCH(orders!$D570,products!$A$1:$A$49,0),MATCH($L$1,products!$A$1:$G$1,0))</f>
        <v>4.7549999999999999</v>
      </c>
      <c r="M570">
        <f t="shared" si="25"/>
        <v>19.02</v>
      </c>
      <c r="N570" t="str">
        <f t="shared" si="26"/>
        <v>Liberica</v>
      </c>
      <c r="O570" t="str">
        <f t="shared" si="27"/>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_xlfn.XLOOKUP(C571,customers!$A$2:$A$1001,customers!$B$2:$B$1001,0)</f>
        <v>Don Flintiff</v>
      </c>
      <c r="G571" s="2" t="str">
        <f>_xlfn.XLOOKUP(C571,customers!$A$2:$A$1001,customers!$C$2:$C$1001,0)</f>
        <v>dflintiffg1@e-recht24.de</v>
      </c>
      <c r="H571" s="2" t="str">
        <f>_xlfn.XLOOKUP(orders!C571,customers!$A$2:$A$1001,customers!$G$2:$G$1001,0)</f>
        <v>United Kingdom</v>
      </c>
      <c r="I571" t="str">
        <f>INDEX(products!$A$1:$G$49,MATCH(orders!$D571,products!$A$1:$A$49,0),MATCH($I$1,products!$A$1:$G$1,0))</f>
        <v>Ara</v>
      </c>
      <c r="J571" t="str">
        <f>INDEX(products!$A$1:$G$49,MATCH(orders!$D571,products!$A$1:$A$49,0),MATCH($J$1,products!$A$1:$G$1,0))</f>
        <v>D</v>
      </c>
      <c r="K571" s="1">
        <f>INDEX(products!$A$1:$G$49,MATCH(orders!$D571,products!$A$1:$A$49,0),MATCH($K$1,products!$A$1:$G$1,0))</f>
        <v>2.5</v>
      </c>
      <c r="L571">
        <f>INDEX(products!$A$1:$G$49,MATCH(orders!$D571,products!$A$1:$A$49,0),MATCH($L$1,products!$A$1:$G$1,0))</f>
        <v>22.884999999999998</v>
      </c>
      <c r="M571">
        <f t="shared" si="25"/>
        <v>137.31</v>
      </c>
      <c r="N571" t="str">
        <f t="shared" si="26"/>
        <v>Arabica</v>
      </c>
      <c r="O571" t="str">
        <f t="shared" si="27"/>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_xlfn.XLOOKUP(C572,customers!$A$2:$A$1001,customers!$B$2:$B$1001,0)</f>
        <v>Donalt Sangwin</v>
      </c>
      <c r="G572" s="2" t="str">
        <f>_xlfn.XLOOKUP(C572,customers!$A$2:$A$1001,customers!$C$2:$C$1001,0)</f>
        <v>dsangwinfu@weebly.com</v>
      </c>
      <c r="H572" s="2" t="str">
        <f>_xlfn.XLOOKUP(orders!C572,customers!$A$2:$A$1001,customers!$G$2:$G$1001,0)</f>
        <v>United States</v>
      </c>
      <c r="I572" t="str">
        <f>INDEX(products!$A$1:$G$49,MATCH(orders!$D572,products!$A$1:$A$49,0),MATCH($I$1,products!$A$1:$G$1,0))</f>
        <v>Ara</v>
      </c>
      <c r="J572" t="str">
        <f>INDEX(products!$A$1:$G$49,MATCH(orders!$D572,products!$A$1:$A$49,0),MATCH($J$1,products!$A$1:$G$1,0))</f>
        <v>M</v>
      </c>
      <c r="K572" s="1">
        <f>INDEX(products!$A$1:$G$49,MATCH(orders!$D572,products!$A$1:$A$49,0),MATCH($K$1,products!$A$1:$G$1,0))</f>
        <v>0.5</v>
      </c>
      <c r="L572">
        <f>INDEX(products!$A$1:$G$49,MATCH(orders!$D572,products!$A$1:$A$49,0),MATCH($L$1,products!$A$1:$G$1,0))</f>
        <v>6.75</v>
      </c>
      <c r="M572">
        <f t="shared" si="25"/>
        <v>27</v>
      </c>
      <c r="N572" t="str">
        <f t="shared" si="26"/>
        <v>Arabica</v>
      </c>
      <c r="O572" t="str">
        <f t="shared" si="27"/>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_xlfn.XLOOKUP(C573,customers!$A$2:$A$1001,customers!$B$2:$B$1001,0)</f>
        <v>Elizabet Aizikowitz</v>
      </c>
      <c r="G573" s="2" t="str">
        <f>_xlfn.XLOOKUP(C573,customers!$A$2:$A$1001,customers!$C$2:$C$1001,0)</f>
        <v>eaizikowitzfv@virginia.edu</v>
      </c>
      <c r="H573" s="2" t="str">
        <f>_xlfn.XLOOKUP(orders!C573,customers!$A$2:$A$1001,customers!$G$2:$G$1001,0)</f>
        <v>United Kingdom</v>
      </c>
      <c r="I573" t="str">
        <f>INDEX(products!$A$1:$G$49,MATCH(orders!$D573,products!$A$1:$A$49,0),MATCH($I$1,products!$A$1:$G$1,0))</f>
        <v>Exc</v>
      </c>
      <c r="J573" t="str">
        <f>INDEX(products!$A$1:$G$49,MATCH(orders!$D573,products!$A$1:$A$49,0),MATCH($J$1,products!$A$1:$G$1,0))</f>
        <v>L</v>
      </c>
      <c r="K573" s="1">
        <f>INDEX(products!$A$1:$G$49,MATCH(orders!$D573,products!$A$1:$A$49,0),MATCH($K$1,products!$A$1:$G$1,0))</f>
        <v>0.5</v>
      </c>
      <c r="L573">
        <f>INDEX(products!$A$1:$G$49,MATCH(orders!$D573,products!$A$1:$A$49,0),MATCH($L$1,products!$A$1:$G$1,0))</f>
        <v>8.91</v>
      </c>
      <c r="M573">
        <f t="shared" si="25"/>
        <v>35.64</v>
      </c>
      <c r="N573" t="str">
        <f t="shared" si="26"/>
        <v>Excelsa</v>
      </c>
      <c r="O573" t="str">
        <f t="shared" si="27"/>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_xlfn.XLOOKUP(C574,customers!$A$2:$A$1001,customers!$B$2:$B$1001,0)</f>
        <v>Herbie Peppard</v>
      </c>
      <c r="G574" s="2">
        <f>_xlfn.XLOOKUP(C574,customers!$A$2:$A$1001,customers!$C$2:$C$1001,0)</f>
        <v>0</v>
      </c>
      <c r="H574" s="2" t="str">
        <f>_xlfn.XLOOKUP(orders!C574,customers!$A$2:$A$1001,customers!$G$2:$G$1001,0)</f>
        <v>United States</v>
      </c>
      <c r="I574" t="str">
        <f>INDEX(products!$A$1:$G$49,MATCH(orders!$D574,products!$A$1:$A$49,0),MATCH($I$1,products!$A$1:$G$1,0))</f>
        <v>Ara</v>
      </c>
      <c r="J574" t="str">
        <f>INDEX(products!$A$1:$G$49,MATCH(orders!$D574,products!$A$1:$A$49,0),MATCH($J$1,products!$A$1:$G$1,0))</f>
        <v>D</v>
      </c>
      <c r="K574" s="1">
        <f>INDEX(products!$A$1:$G$49,MATCH(orders!$D574,products!$A$1:$A$49,0),MATCH($K$1,products!$A$1:$G$1,0))</f>
        <v>0.2</v>
      </c>
      <c r="L574">
        <f>INDEX(products!$A$1:$G$49,MATCH(orders!$D574,products!$A$1:$A$49,0),MATCH($L$1,products!$A$1:$G$1,0))</f>
        <v>2.9849999999999999</v>
      </c>
      <c r="M574">
        <f t="shared" si="25"/>
        <v>5.97</v>
      </c>
      <c r="N574" t="str">
        <f t="shared" si="26"/>
        <v>Arabica</v>
      </c>
      <c r="O574" t="str">
        <f t="shared" si="27"/>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_xlfn.XLOOKUP(C575,customers!$A$2:$A$1001,customers!$B$2:$B$1001,0)</f>
        <v>Cornie Venour</v>
      </c>
      <c r="G575" s="2" t="str">
        <f>_xlfn.XLOOKUP(C575,customers!$A$2:$A$1001,customers!$C$2:$C$1001,0)</f>
        <v>cvenourfx@ask.com</v>
      </c>
      <c r="H575" s="2" t="str">
        <f>_xlfn.XLOOKUP(orders!C575,customers!$A$2:$A$1001,customers!$G$2:$G$1001,0)</f>
        <v>United States</v>
      </c>
      <c r="I575" t="str">
        <f>INDEX(products!$A$1:$G$49,MATCH(orders!$D575,products!$A$1:$A$49,0),MATCH($I$1,products!$A$1:$G$1,0))</f>
        <v>Ara</v>
      </c>
      <c r="J575" t="str">
        <f>INDEX(products!$A$1:$G$49,MATCH(orders!$D575,products!$A$1:$A$49,0),MATCH($J$1,products!$A$1:$G$1,0))</f>
        <v>M</v>
      </c>
      <c r="K575" s="1">
        <f>INDEX(products!$A$1:$G$49,MATCH(orders!$D575,products!$A$1:$A$49,0),MATCH($K$1,products!$A$1:$G$1,0))</f>
        <v>1</v>
      </c>
      <c r="L575">
        <f>INDEX(products!$A$1:$G$49,MATCH(orders!$D575,products!$A$1:$A$49,0),MATCH($L$1,products!$A$1:$G$1,0))</f>
        <v>11.25</v>
      </c>
      <c r="M575">
        <f t="shared" si="25"/>
        <v>67.5</v>
      </c>
      <c r="N575" t="str">
        <f t="shared" si="26"/>
        <v>Arabica</v>
      </c>
      <c r="O575" t="str">
        <f t="shared" si="27"/>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_xlfn.XLOOKUP(C576,customers!$A$2:$A$1001,customers!$B$2:$B$1001,0)</f>
        <v>Maggy Harby</v>
      </c>
      <c r="G576" s="2" t="str">
        <f>_xlfn.XLOOKUP(C576,customers!$A$2:$A$1001,customers!$C$2:$C$1001,0)</f>
        <v>mharbyfy@163.com</v>
      </c>
      <c r="H576" s="2" t="str">
        <f>_xlfn.XLOOKUP(orders!C576,customers!$A$2:$A$1001,customers!$G$2:$G$1001,0)</f>
        <v>United States</v>
      </c>
      <c r="I576" t="str">
        <f>INDEX(products!$A$1:$G$49,MATCH(orders!$D576,products!$A$1:$A$49,0),MATCH($I$1,products!$A$1:$G$1,0))</f>
        <v>Rob</v>
      </c>
      <c r="J576" t="str">
        <f>INDEX(products!$A$1:$G$49,MATCH(orders!$D576,products!$A$1:$A$49,0),MATCH($J$1,products!$A$1:$G$1,0))</f>
        <v>L</v>
      </c>
      <c r="K576" s="1">
        <f>INDEX(products!$A$1:$G$49,MATCH(orders!$D576,products!$A$1:$A$49,0),MATCH($K$1,products!$A$1:$G$1,0))</f>
        <v>0.2</v>
      </c>
      <c r="L576">
        <f>INDEX(products!$A$1:$G$49,MATCH(orders!$D576,products!$A$1:$A$49,0),MATCH($L$1,products!$A$1:$G$1,0))</f>
        <v>3.5849999999999995</v>
      </c>
      <c r="M576">
        <f t="shared" si="25"/>
        <v>21.509999999999998</v>
      </c>
      <c r="N576" t="str">
        <f t="shared" si="26"/>
        <v>Robusta</v>
      </c>
      <c r="O576" t="str">
        <f t="shared" si="27"/>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_xlfn.XLOOKUP(C577,customers!$A$2:$A$1001,customers!$B$2:$B$1001,0)</f>
        <v>Reggie Thickpenny</v>
      </c>
      <c r="G577" s="2" t="str">
        <f>_xlfn.XLOOKUP(C577,customers!$A$2:$A$1001,customers!$C$2:$C$1001,0)</f>
        <v>rthickpennyfz@cafepress.com</v>
      </c>
      <c r="H577" s="2" t="str">
        <f>_xlfn.XLOOKUP(orders!C577,customers!$A$2:$A$1001,customers!$G$2:$G$1001,0)</f>
        <v>United States</v>
      </c>
      <c r="I577" t="str">
        <f>INDEX(products!$A$1:$G$49,MATCH(orders!$D577,products!$A$1:$A$49,0),MATCH($I$1,products!$A$1:$G$1,0))</f>
        <v>Lib</v>
      </c>
      <c r="J577" t="str">
        <f>INDEX(products!$A$1:$G$49,MATCH(orders!$D577,products!$A$1:$A$49,0),MATCH($J$1,products!$A$1:$G$1,0))</f>
        <v>M</v>
      </c>
      <c r="K577" s="1">
        <f>INDEX(products!$A$1:$G$49,MATCH(orders!$D577,products!$A$1:$A$49,0),MATCH($K$1,products!$A$1:$G$1,0))</f>
        <v>2.5</v>
      </c>
      <c r="L577">
        <f>INDEX(products!$A$1:$G$49,MATCH(orders!$D577,products!$A$1:$A$49,0),MATCH($L$1,products!$A$1:$G$1,0))</f>
        <v>33.464999999999996</v>
      </c>
      <c r="M577">
        <f t="shared" si="25"/>
        <v>66.929999999999993</v>
      </c>
      <c r="N577" t="str">
        <f t="shared" si="26"/>
        <v>Liberica</v>
      </c>
      <c r="O577" t="str">
        <f t="shared" si="27"/>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_xlfn.XLOOKUP(C578,customers!$A$2:$A$1001,customers!$B$2:$B$1001,0)</f>
        <v>Phyllys Ormerod</v>
      </c>
      <c r="G578" s="2" t="str">
        <f>_xlfn.XLOOKUP(C578,customers!$A$2:$A$1001,customers!$C$2:$C$1001,0)</f>
        <v>pormerodg0@redcross.org</v>
      </c>
      <c r="H578" s="2" t="str">
        <f>_xlfn.XLOOKUP(orders!C578,customers!$A$2:$A$1001,customers!$G$2:$G$1001,0)</f>
        <v>United States</v>
      </c>
      <c r="I578" t="str">
        <f>INDEX(products!$A$1:$G$49,MATCH(orders!$D578,products!$A$1:$A$49,0),MATCH($I$1,products!$A$1:$G$1,0))</f>
        <v>Ara</v>
      </c>
      <c r="J578" t="str">
        <f>INDEX(products!$A$1:$G$49,MATCH(orders!$D578,products!$A$1:$A$49,0),MATCH($J$1,products!$A$1:$G$1,0))</f>
        <v>D</v>
      </c>
      <c r="K578" s="1">
        <f>INDEX(products!$A$1:$G$49,MATCH(orders!$D578,products!$A$1:$A$49,0),MATCH($K$1,products!$A$1:$G$1,0))</f>
        <v>0.2</v>
      </c>
      <c r="L578">
        <f>INDEX(products!$A$1:$G$49,MATCH(orders!$D578,products!$A$1:$A$49,0),MATCH($L$1,products!$A$1:$G$1,0))</f>
        <v>2.9849999999999999</v>
      </c>
      <c r="M578">
        <f t="shared" si="25"/>
        <v>17.91</v>
      </c>
      <c r="N578" t="str">
        <f t="shared" si="26"/>
        <v>Arabica</v>
      </c>
      <c r="O578" t="str">
        <f t="shared" si="27"/>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_xlfn.XLOOKUP(C579,customers!$A$2:$A$1001,customers!$B$2:$B$1001,0)</f>
        <v>Don Flintiff</v>
      </c>
      <c r="G579" s="2" t="str">
        <f>_xlfn.XLOOKUP(C579,customers!$A$2:$A$1001,customers!$C$2:$C$1001,0)</f>
        <v>dflintiffg1@e-recht24.de</v>
      </c>
      <c r="H579" s="2" t="str">
        <f>_xlfn.XLOOKUP(orders!C579,customers!$A$2:$A$1001,customers!$G$2:$G$1001,0)</f>
        <v>United Kingdom</v>
      </c>
      <c r="I579" t="str">
        <f>INDEX(products!$A$1:$G$49,MATCH(orders!$D579,products!$A$1:$A$49,0),MATCH($I$1,products!$A$1:$G$1,0))</f>
        <v>Lib</v>
      </c>
      <c r="J579" t="str">
        <f>INDEX(products!$A$1:$G$49,MATCH(orders!$D579,products!$A$1:$A$49,0),MATCH($J$1,products!$A$1:$G$1,0))</f>
        <v>M</v>
      </c>
      <c r="K579" s="1">
        <f>INDEX(products!$A$1:$G$49,MATCH(orders!$D579,products!$A$1:$A$49,0),MATCH($K$1,products!$A$1:$G$1,0))</f>
        <v>1</v>
      </c>
      <c r="L579">
        <f>INDEX(products!$A$1:$G$49,MATCH(orders!$D579,products!$A$1:$A$49,0),MATCH($L$1,products!$A$1:$G$1,0))</f>
        <v>14.55</v>
      </c>
      <c r="M579">
        <f t="shared" ref="M579:M642" si="28">L579*E579</f>
        <v>58.2</v>
      </c>
      <c r="N579" t="str">
        <f t="shared" ref="N579:N642" si="29">IF(I579="Rob","Robusta",IF(I579="Exc","Excelsa",IF(I579="Ara","Arabica",IF(I579="Lib","Liberica",""))))</f>
        <v>Liberica</v>
      </c>
      <c r="O579" t="str">
        <f t="shared" ref="O579:O642" si="30">IF(J579="M", "Medium", IF(J579="L","Light", IF(J579="D", "Dark","")))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_xlfn.XLOOKUP(C580,customers!$A$2:$A$1001,customers!$B$2:$B$1001,0)</f>
        <v>Tymon Zanetti</v>
      </c>
      <c r="G580" s="2" t="str">
        <f>_xlfn.XLOOKUP(C580,customers!$A$2:$A$1001,customers!$C$2:$C$1001,0)</f>
        <v>tzanettig2@gravatar.com</v>
      </c>
      <c r="H580" s="2" t="str">
        <f>_xlfn.XLOOKUP(orders!C580,customers!$A$2:$A$1001,customers!$G$2:$G$1001,0)</f>
        <v>Ireland</v>
      </c>
      <c r="I580" t="str">
        <f>INDEX(products!$A$1:$G$49,MATCH(orders!$D580,products!$A$1:$A$49,0),MATCH($I$1,products!$A$1:$G$1,0))</f>
        <v>Exc</v>
      </c>
      <c r="J580" t="str">
        <f>INDEX(products!$A$1:$G$49,MATCH(orders!$D580,products!$A$1:$A$49,0),MATCH($J$1,products!$A$1:$G$1,0))</f>
        <v>L</v>
      </c>
      <c r="K580" s="1">
        <f>INDEX(products!$A$1:$G$49,MATCH(orders!$D580,products!$A$1:$A$49,0),MATCH($K$1,products!$A$1:$G$1,0))</f>
        <v>0.2</v>
      </c>
      <c r="L580">
        <f>INDEX(products!$A$1:$G$49,MATCH(orders!$D580,products!$A$1:$A$49,0),MATCH($L$1,products!$A$1:$G$1,0))</f>
        <v>4.4550000000000001</v>
      </c>
      <c r="M580">
        <f t="shared" si="28"/>
        <v>13.365</v>
      </c>
      <c r="N580" t="str">
        <f t="shared" si="29"/>
        <v>Excelsa</v>
      </c>
      <c r="O580" t="str">
        <f t="shared" si="30"/>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_xlfn.XLOOKUP(C581,customers!$A$2:$A$1001,customers!$B$2:$B$1001,0)</f>
        <v>Tymon Zanetti</v>
      </c>
      <c r="G581" s="2" t="str">
        <f>_xlfn.XLOOKUP(C581,customers!$A$2:$A$1001,customers!$C$2:$C$1001,0)</f>
        <v>tzanettig2@gravatar.com</v>
      </c>
      <c r="H581" s="2" t="str">
        <f>_xlfn.XLOOKUP(orders!C581,customers!$A$2:$A$1001,customers!$G$2:$G$1001,0)</f>
        <v>Ireland</v>
      </c>
      <c r="I581" t="str">
        <f>INDEX(products!$A$1:$G$49,MATCH(orders!$D581,products!$A$1:$A$49,0),MATCH($I$1,products!$A$1:$G$1,0))</f>
        <v>Ara</v>
      </c>
      <c r="J581" t="str">
        <f>INDEX(products!$A$1:$G$49,MATCH(orders!$D581,products!$A$1:$A$49,0),MATCH($J$1,products!$A$1:$G$1,0))</f>
        <v>M</v>
      </c>
      <c r="K581" s="1">
        <f>INDEX(products!$A$1:$G$49,MATCH(orders!$D581,products!$A$1:$A$49,0),MATCH($K$1,products!$A$1:$G$1,0))</f>
        <v>0.5</v>
      </c>
      <c r="L581">
        <f>INDEX(products!$A$1:$G$49,MATCH(orders!$D581,products!$A$1:$A$49,0),MATCH($L$1,products!$A$1:$G$1,0))</f>
        <v>6.75</v>
      </c>
      <c r="M581">
        <f t="shared" si="28"/>
        <v>33.75</v>
      </c>
      <c r="N581" t="str">
        <f t="shared" si="29"/>
        <v>Arabica</v>
      </c>
      <c r="O581" t="str">
        <f t="shared" si="30"/>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_xlfn.XLOOKUP(C582,customers!$A$2:$A$1001,customers!$B$2:$B$1001,0)</f>
        <v>Reinaldos Kirtley</v>
      </c>
      <c r="G582" s="2" t="str">
        <f>_xlfn.XLOOKUP(C582,customers!$A$2:$A$1001,customers!$C$2:$C$1001,0)</f>
        <v>rkirtleyg4@hatena.ne.jp</v>
      </c>
      <c r="H582" s="2" t="str">
        <f>_xlfn.XLOOKUP(orders!C582,customers!$A$2:$A$1001,customers!$G$2:$G$1001,0)</f>
        <v>United States</v>
      </c>
      <c r="I582" t="str">
        <f>INDEX(products!$A$1:$G$49,MATCH(orders!$D582,products!$A$1:$A$49,0),MATCH($I$1,products!$A$1:$G$1,0))</f>
        <v>Exc</v>
      </c>
      <c r="J582" t="str">
        <f>INDEX(products!$A$1:$G$49,MATCH(orders!$D582,products!$A$1:$A$49,0),MATCH($J$1,products!$A$1:$G$1,0))</f>
        <v>L</v>
      </c>
      <c r="K582" s="1">
        <f>INDEX(products!$A$1:$G$49,MATCH(orders!$D582,products!$A$1:$A$49,0),MATCH($K$1,products!$A$1:$G$1,0))</f>
        <v>1</v>
      </c>
      <c r="L582">
        <f>INDEX(products!$A$1:$G$49,MATCH(orders!$D582,products!$A$1:$A$49,0),MATCH($L$1,products!$A$1:$G$1,0))</f>
        <v>14.85</v>
      </c>
      <c r="M582">
        <f t="shared" si="28"/>
        <v>44.55</v>
      </c>
      <c r="N582" t="str">
        <f t="shared" si="29"/>
        <v>Excelsa</v>
      </c>
      <c r="O582" t="str">
        <f t="shared" si="30"/>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_xlfn.XLOOKUP(C583,customers!$A$2:$A$1001,customers!$B$2:$B$1001,0)</f>
        <v>Carney Clemencet</v>
      </c>
      <c r="G583" s="2" t="str">
        <f>_xlfn.XLOOKUP(C583,customers!$A$2:$A$1001,customers!$C$2:$C$1001,0)</f>
        <v>cclemencetg5@weather.com</v>
      </c>
      <c r="H583" s="2" t="str">
        <f>_xlfn.XLOOKUP(orders!C583,customers!$A$2:$A$1001,customers!$G$2:$G$1001,0)</f>
        <v>United Kingdom</v>
      </c>
      <c r="I583" t="str">
        <f>INDEX(products!$A$1:$G$49,MATCH(orders!$D583,products!$A$1:$A$49,0),MATCH($I$1,products!$A$1:$G$1,0))</f>
        <v>Exc</v>
      </c>
      <c r="J583" t="str">
        <f>INDEX(products!$A$1:$G$49,MATCH(orders!$D583,products!$A$1:$A$49,0),MATCH($J$1,products!$A$1:$G$1,0))</f>
        <v>L</v>
      </c>
      <c r="K583" s="1">
        <f>INDEX(products!$A$1:$G$49,MATCH(orders!$D583,products!$A$1:$A$49,0),MATCH($K$1,products!$A$1:$G$1,0))</f>
        <v>0.5</v>
      </c>
      <c r="L583">
        <f>INDEX(products!$A$1:$G$49,MATCH(orders!$D583,products!$A$1:$A$49,0),MATCH($L$1,products!$A$1:$G$1,0))</f>
        <v>8.91</v>
      </c>
      <c r="M583">
        <f t="shared" si="28"/>
        <v>44.55</v>
      </c>
      <c r="N583" t="str">
        <f t="shared" si="29"/>
        <v>Excelsa</v>
      </c>
      <c r="O583" t="str">
        <f t="shared" si="30"/>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_xlfn.XLOOKUP(C584,customers!$A$2:$A$1001,customers!$B$2:$B$1001,0)</f>
        <v>Russell Donet</v>
      </c>
      <c r="G584" s="2" t="str">
        <f>_xlfn.XLOOKUP(C584,customers!$A$2:$A$1001,customers!$C$2:$C$1001,0)</f>
        <v>rdonetg6@oakley.com</v>
      </c>
      <c r="H584" s="2" t="str">
        <f>_xlfn.XLOOKUP(orders!C584,customers!$A$2:$A$1001,customers!$G$2:$G$1001,0)</f>
        <v>United States</v>
      </c>
      <c r="I584" t="str">
        <f>INDEX(products!$A$1:$G$49,MATCH(orders!$D584,products!$A$1:$A$49,0),MATCH($I$1,products!$A$1:$G$1,0))</f>
        <v>Exc</v>
      </c>
      <c r="J584" t="str">
        <f>INDEX(products!$A$1:$G$49,MATCH(orders!$D584,products!$A$1:$A$49,0),MATCH($J$1,products!$A$1:$G$1,0))</f>
        <v>D</v>
      </c>
      <c r="K584" s="1">
        <f>INDEX(products!$A$1:$G$49,MATCH(orders!$D584,products!$A$1:$A$49,0),MATCH($K$1,products!$A$1:$G$1,0))</f>
        <v>1</v>
      </c>
      <c r="L584">
        <f>INDEX(products!$A$1:$G$49,MATCH(orders!$D584,products!$A$1:$A$49,0),MATCH($L$1,products!$A$1:$G$1,0))</f>
        <v>12.15</v>
      </c>
      <c r="M584">
        <f t="shared" si="28"/>
        <v>60.75</v>
      </c>
      <c r="N584" t="str">
        <f t="shared" si="29"/>
        <v>Excelsa</v>
      </c>
      <c r="O584" t="str">
        <f t="shared" si="30"/>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_xlfn.XLOOKUP(C585,customers!$A$2:$A$1001,customers!$B$2:$B$1001,0)</f>
        <v>Sidney Gawen</v>
      </c>
      <c r="G585" s="2" t="str">
        <f>_xlfn.XLOOKUP(C585,customers!$A$2:$A$1001,customers!$C$2:$C$1001,0)</f>
        <v>sgaweng7@creativecommons.org</v>
      </c>
      <c r="H585" s="2" t="str">
        <f>_xlfn.XLOOKUP(orders!C585,customers!$A$2:$A$1001,customers!$G$2:$G$1001,0)</f>
        <v>United States</v>
      </c>
      <c r="I585" t="str">
        <f>INDEX(products!$A$1:$G$49,MATCH(orders!$D585,products!$A$1:$A$49,0),MATCH($I$1,products!$A$1:$G$1,0))</f>
        <v>Rob</v>
      </c>
      <c r="J585" t="str">
        <f>INDEX(products!$A$1:$G$49,MATCH(orders!$D585,products!$A$1:$A$49,0),MATCH($J$1,products!$A$1:$G$1,0))</f>
        <v>L</v>
      </c>
      <c r="K585" s="1">
        <f>INDEX(products!$A$1:$G$49,MATCH(orders!$D585,products!$A$1:$A$49,0),MATCH($K$1,products!$A$1:$G$1,0))</f>
        <v>0.2</v>
      </c>
      <c r="L585">
        <f>INDEX(products!$A$1:$G$49,MATCH(orders!$D585,products!$A$1:$A$49,0),MATCH($L$1,products!$A$1:$G$1,0))</f>
        <v>3.5849999999999995</v>
      </c>
      <c r="M585">
        <f t="shared" si="28"/>
        <v>3.5849999999999995</v>
      </c>
      <c r="N585" t="str">
        <f t="shared" si="29"/>
        <v>Robusta</v>
      </c>
      <c r="O585" t="str">
        <f t="shared" si="30"/>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_xlfn.XLOOKUP(C586,customers!$A$2:$A$1001,customers!$B$2:$B$1001,0)</f>
        <v>Rickey Readie</v>
      </c>
      <c r="G586" s="2" t="str">
        <f>_xlfn.XLOOKUP(C586,customers!$A$2:$A$1001,customers!$C$2:$C$1001,0)</f>
        <v>rreadieg8@guardian.co.uk</v>
      </c>
      <c r="H586" s="2" t="str">
        <f>_xlfn.XLOOKUP(orders!C586,customers!$A$2:$A$1001,customers!$G$2:$G$1001,0)</f>
        <v>United States</v>
      </c>
      <c r="I586" t="str">
        <f>INDEX(products!$A$1:$G$49,MATCH(orders!$D586,products!$A$1:$A$49,0),MATCH($I$1,products!$A$1:$G$1,0))</f>
        <v>Rob</v>
      </c>
      <c r="J586" t="str">
        <f>INDEX(products!$A$1:$G$49,MATCH(orders!$D586,products!$A$1:$A$49,0),MATCH($J$1,products!$A$1:$G$1,0))</f>
        <v>L</v>
      </c>
      <c r="K586" s="1">
        <f>INDEX(products!$A$1:$G$49,MATCH(orders!$D586,products!$A$1:$A$49,0),MATCH($K$1,products!$A$1:$G$1,0))</f>
        <v>0.2</v>
      </c>
      <c r="L586">
        <f>INDEX(products!$A$1:$G$49,MATCH(orders!$D586,products!$A$1:$A$49,0),MATCH($L$1,products!$A$1:$G$1,0))</f>
        <v>3.5849999999999995</v>
      </c>
      <c r="M586">
        <f t="shared" si="28"/>
        <v>21.509999999999998</v>
      </c>
      <c r="N586" t="str">
        <f t="shared" si="29"/>
        <v>Robusta</v>
      </c>
      <c r="O586" t="str">
        <f t="shared" si="30"/>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_xlfn.XLOOKUP(C587,customers!$A$2:$A$1001,customers!$B$2:$B$1001,0)</f>
        <v>Cody Verissimo</v>
      </c>
      <c r="G587" s="2" t="str">
        <f>_xlfn.XLOOKUP(C587,customers!$A$2:$A$1001,customers!$C$2:$C$1001,0)</f>
        <v>cverissimogh@theglobeandmail.com</v>
      </c>
      <c r="H587" s="2" t="str">
        <f>_xlfn.XLOOKUP(orders!C587,customers!$A$2:$A$1001,customers!$G$2:$G$1001,0)</f>
        <v>United Kingdom</v>
      </c>
      <c r="I587" t="str">
        <f>INDEX(products!$A$1:$G$49,MATCH(orders!$D587,products!$A$1:$A$49,0),MATCH($I$1,products!$A$1:$G$1,0))</f>
        <v>Exc</v>
      </c>
      <c r="J587" t="str">
        <f>INDEX(products!$A$1:$G$49,MATCH(orders!$D587,products!$A$1:$A$49,0),MATCH($J$1,products!$A$1:$G$1,0))</f>
        <v>M</v>
      </c>
      <c r="K587" s="1">
        <f>INDEX(products!$A$1:$G$49,MATCH(orders!$D587,products!$A$1:$A$49,0),MATCH($K$1,products!$A$1:$G$1,0))</f>
        <v>0.5</v>
      </c>
      <c r="L587">
        <f>INDEX(products!$A$1:$G$49,MATCH(orders!$D587,products!$A$1:$A$49,0),MATCH($L$1,products!$A$1:$G$1,0))</f>
        <v>8.25</v>
      </c>
      <c r="M587">
        <f t="shared" si="28"/>
        <v>16.5</v>
      </c>
      <c r="N587" t="str">
        <f t="shared" si="29"/>
        <v>Excelsa</v>
      </c>
      <c r="O587" t="str">
        <f t="shared" si="30"/>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_xlfn.XLOOKUP(C588,customers!$A$2:$A$1001,customers!$B$2:$B$1001,0)</f>
        <v>Zilvia Claisse</v>
      </c>
      <c r="G588" s="2">
        <f>_xlfn.XLOOKUP(C588,customers!$A$2:$A$1001,customers!$C$2:$C$1001,0)</f>
        <v>0</v>
      </c>
      <c r="H588" s="2" t="str">
        <f>_xlfn.XLOOKUP(orders!C588,customers!$A$2:$A$1001,customers!$G$2:$G$1001,0)</f>
        <v>United States</v>
      </c>
      <c r="I588" t="str">
        <f>INDEX(products!$A$1:$G$49,MATCH(orders!$D588,products!$A$1:$A$49,0),MATCH($I$1,products!$A$1:$G$1,0))</f>
        <v>Rob</v>
      </c>
      <c r="J588" t="str">
        <f>INDEX(products!$A$1:$G$49,MATCH(orders!$D588,products!$A$1:$A$49,0),MATCH($J$1,products!$A$1:$G$1,0))</f>
        <v>L</v>
      </c>
      <c r="K588" s="1">
        <f>INDEX(products!$A$1:$G$49,MATCH(orders!$D588,products!$A$1:$A$49,0),MATCH($K$1,products!$A$1:$G$1,0))</f>
        <v>2.5</v>
      </c>
      <c r="L588">
        <f>INDEX(products!$A$1:$G$49,MATCH(orders!$D588,products!$A$1:$A$49,0),MATCH($L$1,products!$A$1:$G$1,0))</f>
        <v>27.484999999999996</v>
      </c>
      <c r="M588">
        <f t="shared" si="28"/>
        <v>82.454999999999984</v>
      </c>
      <c r="N588" t="str">
        <f t="shared" si="29"/>
        <v>Robusta</v>
      </c>
      <c r="O588" t="str">
        <f t="shared" si="30"/>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_xlfn.XLOOKUP(C589,customers!$A$2:$A$1001,customers!$B$2:$B$1001,0)</f>
        <v>Bar O' Mahony</v>
      </c>
      <c r="G589" s="2" t="str">
        <f>_xlfn.XLOOKUP(C589,customers!$A$2:$A$1001,customers!$C$2:$C$1001,0)</f>
        <v>bogb@elpais.com</v>
      </c>
      <c r="H589" s="2" t="str">
        <f>_xlfn.XLOOKUP(orders!C589,customers!$A$2:$A$1001,customers!$G$2:$G$1001,0)</f>
        <v>United States</v>
      </c>
      <c r="I589" t="str">
        <f>INDEX(products!$A$1:$G$49,MATCH(orders!$D589,products!$A$1:$A$49,0),MATCH($I$1,products!$A$1:$G$1,0))</f>
        <v>Lib</v>
      </c>
      <c r="J589" t="str">
        <f>INDEX(products!$A$1:$G$49,MATCH(orders!$D589,products!$A$1:$A$49,0),MATCH($J$1,products!$A$1:$G$1,0))</f>
        <v>D</v>
      </c>
      <c r="K589" s="1">
        <f>INDEX(products!$A$1:$G$49,MATCH(orders!$D589,products!$A$1:$A$49,0),MATCH($K$1,products!$A$1:$G$1,0))</f>
        <v>0.5</v>
      </c>
      <c r="L589">
        <f>INDEX(products!$A$1:$G$49,MATCH(orders!$D589,products!$A$1:$A$49,0),MATCH($L$1,products!$A$1:$G$1,0))</f>
        <v>7.77</v>
      </c>
      <c r="M589">
        <f t="shared" si="28"/>
        <v>7.77</v>
      </c>
      <c r="N589" t="str">
        <f t="shared" si="29"/>
        <v>Liberica</v>
      </c>
      <c r="O589" t="str">
        <f t="shared" si="30"/>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_xlfn.XLOOKUP(C590,customers!$A$2:$A$1001,customers!$B$2:$B$1001,0)</f>
        <v>Valenka Stansbury</v>
      </c>
      <c r="G590" s="2" t="str">
        <f>_xlfn.XLOOKUP(C590,customers!$A$2:$A$1001,customers!$C$2:$C$1001,0)</f>
        <v>vstansburygc@unblog.fr</v>
      </c>
      <c r="H590" s="2" t="str">
        <f>_xlfn.XLOOKUP(orders!C590,customers!$A$2:$A$1001,customers!$G$2:$G$1001,0)</f>
        <v>United States</v>
      </c>
      <c r="I590" t="str">
        <f>INDEX(products!$A$1:$G$49,MATCH(orders!$D590,products!$A$1:$A$49,0),MATCH($I$1,products!$A$1:$G$1,0))</f>
        <v>Rob</v>
      </c>
      <c r="J590" t="str">
        <f>INDEX(products!$A$1:$G$49,MATCH(orders!$D590,products!$A$1:$A$49,0),MATCH($J$1,products!$A$1:$G$1,0))</f>
        <v>M</v>
      </c>
      <c r="K590" s="1">
        <f>INDEX(products!$A$1:$G$49,MATCH(orders!$D590,products!$A$1:$A$49,0),MATCH($K$1,products!$A$1:$G$1,0))</f>
        <v>0.5</v>
      </c>
      <c r="L590">
        <f>INDEX(products!$A$1:$G$49,MATCH(orders!$D590,products!$A$1:$A$49,0),MATCH($L$1,products!$A$1:$G$1,0))</f>
        <v>5.97</v>
      </c>
      <c r="M590">
        <f t="shared" si="28"/>
        <v>11.94</v>
      </c>
      <c r="N590" t="str">
        <f t="shared" si="29"/>
        <v>Robusta</v>
      </c>
      <c r="O590" t="str">
        <f t="shared" si="30"/>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_xlfn.XLOOKUP(C591,customers!$A$2:$A$1001,customers!$B$2:$B$1001,0)</f>
        <v>Daniel Heinonen</v>
      </c>
      <c r="G591" s="2" t="str">
        <f>_xlfn.XLOOKUP(C591,customers!$A$2:$A$1001,customers!$C$2:$C$1001,0)</f>
        <v>dheinonengd@printfriendly.com</v>
      </c>
      <c r="H591" s="2" t="str">
        <f>_xlfn.XLOOKUP(orders!C591,customers!$A$2:$A$1001,customers!$G$2:$G$1001,0)</f>
        <v>United States</v>
      </c>
      <c r="I591" t="str">
        <f>INDEX(products!$A$1:$G$49,MATCH(orders!$D591,products!$A$1:$A$49,0),MATCH($I$1,products!$A$1:$G$1,0))</f>
        <v>Exc</v>
      </c>
      <c r="J591" t="str">
        <f>INDEX(products!$A$1:$G$49,MATCH(orders!$D591,products!$A$1:$A$49,0),MATCH($J$1,products!$A$1:$G$1,0))</f>
        <v>L</v>
      </c>
      <c r="K591" s="1">
        <f>INDEX(products!$A$1:$G$49,MATCH(orders!$D591,products!$A$1:$A$49,0),MATCH($K$1,products!$A$1:$G$1,0))</f>
        <v>2.5</v>
      </c>
      <c r="L591">
        <f>INDEX(products!$A$1:$G$49,MATCH(orders!$D591,products!$A$1:$A$49,0),MATCH($L$1,products!$A$1:$G$1,0))</f>
        <v>34.154999999999994</v>
      </c>
      <c r="M591">
        <f t="shared" si="28"/>
        <v>204.92999999999995</v>
      </c>
      <c r="N591" t="str">
        <f t="shared" si="29"/>
        <v>Excelsa</v>
      </c>
      <c r="O591" t="str">
        <f t="shared" si="30"/>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_xlfn.XLOOKUP(C592,customers!$A$2:$A$1001,customers!$B$2:$B$1001,0)</f>
        <v>Jewelle Shenton</v>
      </c>
      <c r="G592" s="2" t="str">
        <f>_xlfn.XLOOKUP(C592,customers!$A$2:$A$1001,customers!$C$2:$C$1001,0)</f>
        <v>jshentonge@google.com.hk</v>
      </c>
      <c r="H592" s="2" t="str">
        <f>_xlfn.XLOOKUP(orders!C592,customers!$A$2:$A$1001,customers!$G$2:$G$1001,0)</f>
        <v>United States</v>
      </c>
      <c r="I592" t="str">
        <f>INDEX(products!$A$1:$G$49,MATCH(orders!$D592,products!$A$1:$A$49,0),MATCH($I$1,products!$A$1:$G$1,0))</f>
        <v>Exc</v>
      </c>
      <c r="J592" t="str">
        <f>INDEX(products!$A$1:$G$49,MATCH(orders!$D592,products!$A$1:$A$49,0),MATCH($J$1,products!$A$1:$G$1,0))</f>
        <v>M</v>
      </c>
      <c r="K592" s="1">
        <f>INDEX(products!$A$1:$G$49,MATCH(orders!$D592,products!$A$1:$A$49,0),MATCH($K$1,products!$A$1:$G$1,0))</f>
        <v>2.5</v>
      </c>
      <c r="L592">
        <f>INDEX(products!$A$1:$G$49,MATCH(orders!$D592,products!$A$1:$A$49,0),MATCH($L$1,products!$A$1:$G$1,0))</f>
        <v>31.624999999999996</v>
      </c>
      <c r="M592">
        <f t="shared" si="28"/>
        <v>63.249999999999993</v>
      </c>
      <c r="N592" t="str">
        <f t="shared" si="29"/>
        <v>Excelsa</v>
      </c>
      <c r="O592" t="str">
        <f t="shared" si="30"/>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_xlfn.XLOOKUP(C593,customers!$A$2:$A$1001,customers!$B$2:$B$1001,0)</f>
        <v>Jennifer Wilkisson</v>
      </c>
      <c r="G593" s="2" t="str">
        <f>_xlfn.XLOOKUP(C593,customers!$A$2:$A$1001,customers!$C$2:$C$1001,0)</f>
        <v>jwilkissongf@nba.com</v>
      </c>
      <c r="H593" s="2" t="str">
        <f>_xlfn.XLOOKUP(orders!C593,customers!$A$2:$A$1001,customers!$G$2:$G$1001,0)</f>
        <v>United States</v>
      </c>
      <c r="I593" t="str">
        <f>INDEX(products!$A$1:$G$49,MATCH(orders!$D593,products!$A$1:$A$49,0),MATCH($I$1,products!$A$1:$G$1,0))</f>
        <v>Rob</v>
      </c>
      <c r="J593" t="str">
        <f>INDEX(products!$A$1:$G$49,MATCH(orders!$D593,products!$A$1:$A$49,0),MATCH($J$1,products!$A$1:$G$1,0))</f>
        <v>D</v>
      </c>
      <c r="K593" s="1">
        <f>INDEX(products!$A$1:$G$49,MATCH(orders!$D593,products!$A$1:$A$49,0),MATCH($K$1,products!$A$1:$G$1,0))</f>
        <v>0.2</v>
      </c>
      <c r="L593">
        <f>INDEX(products!$A$1:$G$49,MATCH(orders!$D593,products!$A$1:$A$49,0),MATCH($L$1,products!$A$1:$G$1,0))</f>
        <v>2.6849999999999996</v>
      </c>
      <c r="M593">
        <f t="shared" si="28"/>
        <v>8.0549999999999997</v>
      </c>
      <c r="N593" t="str">
        <f t="shared" si="29"/>
        <v>Robusta</v>
      </c>
      <c r="O593" t="str">
        <f t="shared" si="30"/>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_xlfn.XLOOKUP(C594,customers!$A$2:$A$1001,customers!$B$2:$B$1001,0)</f>
        <v>Kylie Mowat</v>
      </c>
      <c r="G594" s="2">
        <f>_xlfn.XLOOKUP(C594,customers!$A$2:$A$1001,customers!$C$2:$C$1001,0)</f>
        <v>0</v>
      </c>
      <c r="H594" s="2" t="str">
        <f>_xlfn.XLOOKUP(orders!C594,customers!$A$2:$A$1001,customers!$G$2:$G$1001,0)</f>
        <v>United States</v>
      </c>
      <c r="I594" t="str">
        <f>INDEX(products!$A$1:$G$49,MATCH(orders!$D594,products!$A$1:$A$49,0),MATCH($I$1,products!$A$1:$G$1,0))</f>
        <v>Ara</v>
      </c>
      <c r="J594" t="str">
        <f>INDEX(products!$A$1:$G$49,MATCH(orders!$D594,products!$A$1:$A$49,0),MATCH($J$1,products!$A$1:$G$1,0))</f>
        <v>M</v>
      </c>
      <c r="K594" s="1">
        <f>INDEX(products!$A$1:$G$49,MATCH(orders!$D594,products!$A$1:$A$49,0),MATCH($K$1,products!$A$1:$G$1,0))</f>
        <v>2.5</v>
      </c>
      <c r="L594">
        <f>INDEX(products!$A$1:$G$49,MATCH(orders!$D594,products!$A$1:$A$49,0),MATCH($L$1,products!$A$1:$G$1,0))</f>
        <v>25.874999999999996</v>
      </c>
      <c r="M594">
        <f t="shared" si="28"/>
        <v>51.749999999999993</v>
      </c>
      <c r="N594" t="str">
        <f t="shared" si="29"/>
        <v>Arabica</v>
      </c>
      <c r="O594" t="str">
        <f t="shared" si="30"/>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_xlfn.XLOOKUP(C595,customers!$A$2:$A$1001,customers!$B$2:$B$1001,0)</f>
        <v>Cody Verissimo</v>
      </c>
      <c r="G595" s="2" t="str">
        <f>_xlfn.XLOOKUP(C595,customers!$A$2:$A$1001,customers!$C$2:$C$1001,0)</f>
        <v>cverissimogh@theglobeandmail.com</v>
      </c>
      <c r="H595" s="2" t="str">
        <f>_xlfn.XLOOKUP(orders!C595,customers!$A$2:$A$1001,customers!$G$2:$G$1001,0)</f>
        <v>United Kingdom</v>
      </c>
      <c r="I595" t="str">
        <f>INDEX(products!$A$1:$G$49,MATCH(orders!$D595,products!$A$1:$A$49,0),MATCH($I$1,products!$A$1:$G$1,0))</f>
        <v>Exc</v>
      </c>
      <c r="J595" t="str">
        <f>INDEX(products!$A$1:$G$49,MATCH(orders!$D595,products!$A$1:$A$49,0),MATCH($J$1,products!$A$1:$G$1,0))</f>
        <v>D</v>
      </c>
      <c r="K595" s="1">
        <f>INDEX(products!$A$1:$G$49,MATCH(orders!$D595,products!$A$1:$A$49,0),MATCH($K$1,products!$A$1:$G$1,0))</f>
        <v>2.5</v>
      </c>
      <c r="L595">
        <f>INDEX(products!$A$1:$G$49,MATCH(orders!$D595,products!$A$1:$A$49,0),MATCH($L$1,products!$A$1:$G$1,0))</f>
        <v>27.945</v>
      </c>
      <c r="M595">
        <f t="shared" si="28"/>
        <v>27.945</v>
      </c>
      <c r="N595" t="str">
        <f t="shared" si="29"/>
        <v>Excelsa</v>
      </c>
      <c r="O595" t="str">
        <f t="shared" si="30"/>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_xlfn.XLOOKUP(C596,customers!$A$2:$A$1001,customers!$B$2:$B$1001,0)</f>
        <v>Gabriel Starcks</v>
      </c>
      <c r="G596" s="2" t="str">
        <f>_xlfn.XLOOKUP(C596,customers!$A$2:$A$1001,customers!$C$2:$C$1001,0)</f>
        <v>gstarcksgi@abc.net.au</v>
      </c>
      <c r="H596" s="2" t="str">
        <f>_xlfn.XLOOKUP(orders!C596,customers!$A$2:$A$1001,customers!$G$2:$G$1001,0)</f>
        <v>United States</v>
      </c>
      <c r="I596" t="str">
        <f>INDEX(products!$A$1:$G$49,MATCH(orders!$D596,products!$A$1:$A$49,0),MATCH($I$1,products!$A$1:$G$1,0))</f>
        <v>Ara</v>
      </c>
      <c r="J596" t="str">
        <f>INDEX(products!$A$1:$G$49,MATCH(orders!$D596,products!$A$1:$A$49,0),MATCH($J$1,products!$A$1:$G$1,0))</f>
        <v>L</v>
      </c>
      <c r="K596" s="1">
        <f>INDEX(products!$A$1:$G$49,MATCH(orders!$D596,products!$A$1:$A$49,0),MATCH($K$1,products!$A$1:$G$1,0))</f>
        <v>2.5</v>
      </c>
      <c r="L596">
        <f>INDEX(products!$A$1:$G$49,MATCH(orders!$D596,products!$A$1:$A$49,0),MATCH($L$1,products!$A$1:$G$1,0))</f>
        <v>29.784999999999997</v>
      </c>
      <c r="M596">
        <f t="shared" si="28"/>
        <v>59.569999999999993</v>
      </c>
      <c r="N596" t="str">
        <f t="shared" si="29"/>
        <v>Arabica</v>
      </c>
      <c r="O596" t="str">
        <f t="shared" si="30"/>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_xlfn.XLOOKUP(C597,customers!$A$2:$A$1001,customers!$B$2:$B$1001,0)</f>
        <v>Darby Dummer</v>
      </c>
      <c r="G597" s="2">
        <f>_xlfn.XLOOKUP(C597,customers!$A$2:$A$1001,customers!$C$2:$C$1001,0)</f>
        <v>0</v>
      </c>
      <c r="H597" s="2" t="str">
        <f>_xlfn.XLOOKUP(orders!C597,customers!$A$2:$A$1001,customers!$G$2:$G$1001,0)</f>
        <v>United Kingdom</v>
      </c>
      <c r="I597" t="str">
        <f>INDEX(products!$A$1:$G$49,MATCH(orders!$D597,products!$A$1:$A$49,0),MATCH($I$1,products!$A$1:$G$1,0))</f>
        <v>Exc</v>
      </c>
      <c r="J597" t="str">
        <f>INDEX(products!$A$1:$G$49,MATCH(orders!$D597,products!$A$1:$A$49,0),MATCH($J$1,products!$A$1:$G$1,0))</f>
        <v>L</v>
      </c>
      <c r="K597" s="1">
        <f>INDEX(products!$A$1:$G$49,MATCH(orders!$D597,products!$A$1:$A$49,0),MATCH($K$1,products!$A$1:$G$1,0))</f>
        <v>1</v>
      </c>
      <c r="L597">
        <f>INDEX(products!$A$1:$G$49,MATCH(orders!$D597,products!$A$1:$A$49,0),MATCH($L$1,products!$A$1:$G$1,0))</f>
        <v>14.85</v>
      </c>
      <c r="M597">
        <f t="shared" si="28"/>
        <v>14.85</v>
      </c>
      <c r="N597" t="str">
        <f t="shared" si="29"/>
        <v>Excelsa</v>
      </c>
      <c r="O597" t="str">
        <f t="shared" si="30"/>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_xlfn.XLOOKUP(C598,customers!$A$2:$A$1001,customers!$B$2:$B$1001,0)</f>
        <v>Kienan Scholard</v>
      </c>
      <c r="G598" s="2" t="str">
        <f>_xlfn.XLOOKUP(C598,customers!$A$2:$A$1001,customers!$C$2:$C$1001,0)</f>
        <v>kscholardgk@sbwire.com</v>
      </c>
      <c r="H598" s="2" t="str">
        <f>_xlfn.XLOOKUP(orders!C598,customers!$A$2:$A$1001,customers!$G$2:$G$1001,0)</f>
        <v>United States</v>
      </c>
      <c r="I598" t="str">
        <f>INDEX(products!$A$1:$G$49,MATCH(orders!$D598,products!$A$1:$A$49,0),MATCH($I$1,products!$A$1:$G$1,0))</f>
        <v>Ara</v>
      </c>
      <c r="J598" t="str">
        <f>INDEX(products!$A$1:$G$49,MATCH(orders!$D598,products!$A$1:$A$49,0),MATCH($J$1,products!$A$1:$G$1,0))</f>
        <v>M</v>
      </c>
      <c r="K598" s="1">
        <f>INDEX(products!$A$1:$G$49,MATCH(orders!$D598,products!$A$1:$A$49,0),MATCH($K$1,products!$A$1:$G$1,0))</f>
        <v>0.5</v>
      </c>
      <c r="L598">
        <f>INDEX(products!$A$1:$G$49,MATCH(orders!$D598,products!$A$1:$A$49,0),MATCH($L$1,products!$A$1:$G$1,0))</f>
        <v>6.75</v>
      </c>
      <c r="M598">
        <f t="shared" si="28"/>
        <v>33.75</v>
      </c>
      <c r="N598" t="str">
        <f t="shared" si="29"/>
        <v>Arabica</v>
      </c>
      <c r="O598" t="str">
        <f t="shared" si="30"/>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_xlfn.XLOOKUP(C599,customers!$A$2:$A$1001,customers!$B$2:$B$1001,0)</f>
        <v>Bo Kindley</v>
      </c>
      <c r="G599" s="2" t="str">
        <f>_xlfn.XLOOKUP(C599,customers!$A$2:$A$1001,customers!$C$2:$C$1001,0)</f>
        <v>bkindleygl@wikimedia.org</v>
      </c>
      <c r="H599" s="2" t="str">
        <f>_xlfn.XLOOKUP(orders!C599,customers!$A$2:$A$1001,customers!$G$2:$G$1001,0)</f>
        <v>United States</v>
      </c>
      <c r="I599" t="str">
        <f>INDEX(products!$A$1:$G$49,MATCH(orders!$D599,products!$A$1:$A$49,0),MATCH($I$1,products!$A$1:$G$1,0))</f>
        <v>Lib</v>
      </c>
      <c r="J599" t="str">
        <f>INDEX(products!$A$1:$G$49,MATCH(orders!$D599,products!$A$1:$A$49,0),MATCH($J$1,products!$A$1:$G$1,0))</f>
        <v>L</v>
      </c>
      <c r="K599" s="1">
        <f>INDEX(products!$A$1:$G$49,MATCH(orders!$D599,products!$A$1:$A$49,0),MATCH($K$1,products!$A$1:$G$1,0))</f>
        <v>2.5</v>
      </c>
      <c r="L599">
        <f>INDEX(products!$A$1:$G$49,MATCH(orders!$D599,products!$A$1:$A$49,0),MATCH($L$1,products!$A$1:$G$1,0))</f>
        <v>36.454999999999998</v>
      </c>
      <c r="M599">
        <f t="shared" si="28"/>
        <v>145.82</v>
      </c>
      <c r="N599" t="str">
        <f t="shared" si="29"/>
        <v>Liberica</v>
      </c>
      <c r="O599" t="str">
        <f t="shared" si="30"/>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_xlfn.XLOOKUP(C600,customers!$A$2:$A$1001,customers!$B$2:$B$1001,0)</f>
        <v>Krissie Hammett</v>
      </c>
      <c r="G600" s="2" t="str">
        <f>_xlfn.XLOOKUP(C600,customers!$A$2:$A$1001,customers!$C$2:$C$1001,0)</f>
        <v>khammettgm@dmoz.org</v>
      </c>
      <c r="H600" s="2" t="str">
        <f>_xlfn.XLOOKUP(orders!C600,customers!$A$2:$A$1001,customers!$G$2:$G$1001,0)</f>
        <v>United States</v>
      </c>
      <c r="I600" t="str">
        <f>INDEX(products!$A$1:$G$49,MATCH(orders!$D600,products!$A$1:$A$49,0),MATCH($I$1,products!$A$1:$G$1,0))</f>
        <v>Rob</v>
      </c>
      <c r="J600" t="str">
        <f>INDEX(products!$A$1:$G$49,MATCH(orders!$D600,products!$A$1:$A$49,0),MATCH($J$1,products!$A$1:$G$1,0))</f>
        <v>M</v>
      </c>
      <c r="K600" s="1">
        <f>INDEX(products!$A$1:$G$49,MATCH(orders!$D600,products!$A$1:$A$49,0),MATCH($K$1,products!$A$1:$G$1,0))</f>
        <v>0.2</v>
      </c>
      <c r="L600">
        <f>INDEX(products!$A$1:$G$49,MATCH(orders!$D600,products!$A$1:$A$49,0),MATCH($L$1,products!$A$1:$G$1,0))</f>
        <v>2.9849999999999999</v>
      </c>
      <c r="M600">
        <f t="shared" si="28"/>
        <v>11.94</v>
      </c>
      <c r="N600" t="str">
        <f t="shared" si="29"/>
        <v>Robusta</v>
      </c>
      <c r="O600" t="str">
        <f t="shared" si="30"/>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_xlfn.XLOOKUP(C601,customers!$A$2:$A$1001,customers!$B$2:$B$1001,0)</f>
        <v>Alisha Hulburt</v>
      </c>
      <c r="G601" s="2" t="str">
        <f>_xlfn.XLOOKUP(C601,customers!$A$2:$A$1001,customers!$C$2:$C$1001,0)</f>
        <v>ahulburtgn@fda.gov</v>
      </c>
      <c r="H601" s="2" t="str">
        <f>_xlfn.XLOOKUP(orders!C601,customers!$A$2:$A$1001,customers!$G$2:$G$1001,0)</f>
        <v>United States</v>
      </c>
      <c r="I601" t="str">
        <f>INDEX(products!$A$1:$G$49,MATCH(orders!$D601,products!$A$1:$A$49,0),MATCH($I$1,products!$A$1:$G$1,0))</f>
        <v>Ara</v>
      </c>
      <c r="J601" t="str">
        <f>INDEX(products!$A$1:$G$49,MATCH(orders!$D601,products!$A$1:$A$49,0),MATCH($J$1,products!$A$1:$G$1,0))</f>
        <v>D</v>
      </c>
      <c r="K601" s="1">
        <f>INDEX(products!$A$1:$G$49,MATCH(orders!$D601,products!$A$1:$A$49,0),MATCH($K$1,products!$A$1:$G$1,0))</f>
        <v>0.2</v>
      </c>
      <c r="L601">
        <f>INDEX(products!$A$1:$G$49,MATCH(orders!$D601,products!$A$1:$A$49,0),MATCH($L$1,products!$A$1:$G$1,0))</f>
        <v>2.9849999999999999</v>
      </c>
      <c r="M601">
        <f t="shared" si="28"/>
        <v>11.94</v>
      </c>
      <c r="N601" t="str">
        <f t="shared" si="29"/>
        <v>Arabica</v>
      </c>
      <c r="O601" t="str">
        <f t="shared" si="30"/>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_xlfn.XLOOKUP(C602,customers!$A$2:$A$1001,customers!$B$2:$B$1001,0)</f>
        <v>Peyter Lauritzen</v>
      </c>
      <c r="G602" s="2" t="str">
        <f>_xlfn.XLOOKUP(C602,customers!$A$2:$A$1001,customers!$C$2:$C$1001,0)</f>
        <v>plauritzengo@photobucket.com</v>
      </c>
      <c r="H602" s="2" t="str">
        <f>_xlfn.XLOOKUP(orders!C602,customers!$A$2:$A$1001,customers!$G$2:$G$1001,0)</f>
        <v>United States</v>
      </c>
      <c r="I602" t="str">
        <f>INDEX(products!$A$1:$G$49,MATCH(orders!$D602,products!$A$1:$A$49,0),MATCH($I$1,products!$A$1:$G$1,0))</f>
        <v>Lib</v>
      </c>
      <c r="J602" t="str">
        <f>INDEX(products!$A$1:$G$49,MATCH(orders!$D602,products!$A$1:$A$49,0),MATCH($J$1,products!$A$1:$G$1,0))</f>
        <v>D</v>
      </c>
      <c r="K602" s="1">
        <f>INDEX(products!$A$1:$G$49,MATCH(orders!$D602,products!$A$1:$A$49,0),MATCH($K$1,products!$A$1:$G$1,0))</f>
        <v>0.5</v>
      </c>
      <c r="L602">
        <f>INDEX(products!$A$1:$G$49,MATCH(orders!$D602,products!$A$1:$A$49,0),MATCH($L$1,products!$A$1:$G$1,0))</f>
        <v>7.77</v>
      </c>
      <c r="M602">
        <f t="shared" si="28"/>
        <v>7.77</v>
      </c>
      <c r="N602" t="str">
        <f t="shared" si="29"/>
        <v>Liberica</v>
      </c>
      <c r="O602" t="str">
        <f t="shared" si="30"/>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_xlfn.XLOOKUP(C603,customers!$A$2:$A$1001,customers!$B$2:$B$1001,0)</f>
        <v>Aurelia Burgwin</v>
      </c>
      <c r="G603" s="2" t="str">
        <f>_xlfn.XLOOKUP(C603,customers!$A$2:$A$1001,customers!$C$2:$C$1001,0)</f>
        <v>aburgwingp@redcross.org</v>
      </c>
      <c r="H603" s="2" t="str">
        <f>_xlfn.XLOOKUP(orders!C603,customers!$A$2:$A$1001,customers!$G$2:$G$1001,0)</f>
        <v>United States</v>
      </c>
      <c r="I603" t="str">
        <f>INDEX(products!$A$1:$G$49,MATCH(orders!$D603,products!$A$1:$A$49,0),MATCH($I$1,products!$A$1:$G$1,0))</f>
        <v>Rob</v>
      </c>
      <c r="J603" t="str">
        <f>INDEX(products!$A$1:$G$49,MATCH(orders!$D603,products!$A$1:$A$49,0),MATCH($J$1,products!$A$1:$G$1,0))</f>
        <v>L</v>
      </c>
      <c r="K603" s="1">
        <f>INDEX(products!$A$1:$G$49,MATCH(orders!$D603,products!$A$1:$A$49,0),MATCH($K$1,products!$A$1:$G$1,0))</f>
        <v>2.5</v>
      </c>
      <c r="L603">
        <f>INDEX(products!$A$1:$G$49,MATCH(orders!$D603,products!$A$1:$A$49,0),MATCH($L$1,products!$A$1:$G$1,0))</f>
        <v>27.484999999999996</v>
      </c>
      <c r="M603">
        <f t="shared" si="28"/>
        <v>109.93999999999998</v>
      </c>
      <c r="N603" t="str">
        <f t="shared" si="29"/>
        <v>Robusta</v>
      </c>
      <c r="O603" t="str">
        <f t="shared" si="30"/>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_xlfn.XLOOKUP(C604,customers!$A$2:$A$1001,customers!$B$2:$B$1001,0)</f>
        <v>Emalee Rolin</v>
      </c>
      <c r="G604" s="2" t="str">
        <f>_xlfn.XLOOKUP(C604,customers!$A$2:$A$1001,customers!$C$2:$C$1001,0)</f>
        <v>erolingq@google.fr</v>
      </c>
      <c r="H604" s="2" t="str">
        <f>_xlfn.XLOOKUP(orders!C604,customers!$A$2:$A$1001,customers!$G$2:$G$1001,0)</f>
        <v>United States</v>
      </c>
      <c r="I604" t="str">
        <f>INDEX(products!$A$1:$G$49,MATCH(orders!$D604,products!$A$1:$A$49,0),MATCH($I$1,products!$A$1:$G$1,0))</f>
        <v>Exc</v>
      </c>
      <c r="J604" t="str">
        <f>INDEX(products!$A$1:$G$49,MATCH(orders!$D604,products!$A$1:$A$49,0),MATCH($J$1,products!$A$1:$G$1,0))</f>
        <v>L</v>
      </c>
      <c r="K604" s="1">
        <f>INDEX(products!$A$1:$G$49,MATCH(orders!$D604,products!$A$1:$A$49,0),MATCH($K$1,products!$A$1:$G$1,0))</f>
        <v>0.2</v>
      </c>
      <c r="L604">
        <f>INDEX(products!$A$1:$G$49,MATCH(orders!$D604,products!$A$1:$A$49,0),MATCH($L$1,products!$A$1:$G$1,0))</f>
        <v>4.4550000000000001</v>
      </c>
      <c r="M604">
        <f t="shared" si="28"/>
        <v>22.274999999999999</v>
      </c>
      <c r="N604" t="str">
        <f t="shared" si="29"/>
        <v>Excelsa</v>
      </c>
      <c r="O604" t="str">
        <f t="shared" si="30"/>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_xlfn.XLOOKUP(C605,customers!$A$2:$A$1001,customers!$B$2:$B$1001,0)</f>
        <v>Donavon Fowle</v>
      </c>
      <c r="G605" s="2" t="str">
        <f>_xlfn.XLOOKUP(C605,customers!$A$2:$A$1001,customers!$C$2:$C$1001,0)</f>
        <v>dfowlegr@epa.gov</v>
      </c>
      <c r="H605" s="2" t="str">
        <f>_xlfn.XLOOKUP(orders!C605,customers!$A$2:$A$1001,customers!$G$2:$G$1001,0)</f>
        <v>United States</v>
      </c>
      <c r="I605" t="str">
        <f>INDEX(products!$A$1:$G$49,MATCH(orders!$D605,products!$A$1:$A$49,0),MATCH($I$1,products!$A$1:$G$1,0))</f>
        <v>Rob</v>
      </c>
      <c r="J605" t="str">
        <f>INDEX(products!$A$1:$G$49,MATCH(orders!$D605,products!$A$1:$A$49,0),MATCH($J$1,products!$A$1:$G$1,0))</f>
        <v>M</v>
      </c>
      <c r="K605" s="1">
        <f>INDEX(products!$A$1:$G$49,MATCH(orders!$D605,products!$A$1:$A$49,0),MATCH($K$1,products!$A$1:$G$1,0))</f>
        <v>0.2</v>
      </c>
      <c r="L605">
        <f>INDEX(products!$A$1:$G$49,MATCH(orders!$D605,products!$A$1:$A$49,0),MATCH($L$1,products!$A$1:$G$1,0))</f>
        <v>2.9849999999999999</v>
      </c>
      <c r="M605">
        <f t="shared" si="28"/>
        <v>8.9550000000000001</v>
      </c>
      <c r="N605" t="str">
        <f t="shared" si="29"/>
        <v>Robusta</v>
      </c>
      <c r="O605" t="str">
        <f t="shared" si="30"/>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_xlfn.XLOOKUP(C606,customers!$A$2:$A$1001,customers!$B$2:$B$1001,0)</f>
        <v>Jorge Bettison</v>
      </c>
      <c r="G606" s="2">
        <f>_xlfn.XLOOKUP(C606,customers!$A$2:$A$1001,customers!$C$2:$C$1001,0)</f>
        <v>0</v>
      </c>
      <c r="H606" s="2" t="str">
        <f>_xlfn.XLOOKUP(orders!C606,customers!$A$2:$A$1001,customers!$G$2:$G$1001,0)</f>
        <v>Ireland</v>
      </c>
      <c r="I606" t="str">
        <f>INDEX(products!$A$1:$G$49,MATCH(orders!$D606,products!$A$1:$A$49,0),MATCH($I$1,products!$A$1:$G$1,0))</f>
        <v>Lib</v>
      </c>
      <c r="J606" t="str">
        <f>INDEX(products!$A$1:$G$49,MATCH(orders!$D606,products!$A$1:$A$49,0),MATCH($J$1,products!$A$1:$G$1,0))</f>
        <v>D</v>
      </c>
      <c r="K606" s="1">
        <f>INDEX(products!$A$1:$G$49,MATCH(orders!$D606,products!$A$1:$A$49,0),MATCH($K$1,products!$A$1:$G$1,0))</f>
        <v>2.5</v>
      </c>
      <c r="L606">
        <f>INDEX(products!$A$1:$G$49,MATCH(orders!$D606,products!$A$1:$A$49,0),MATCH($L$1,products!$A$1:$G$1,0))</f>
        <v>29.784999999999997</v>
      </c>
      <c r="M606">
        <f t="shared" si="28"/>
        <v>119.13999999999999</v>
      </c>
      <c r="N606" t="str">
        <f t="shared" si="29"/>
        <v>Liberica</v>
      </c>
      <c r="O606" t="str">
        <f t="shared" si="30"/>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_xlfn.XLOOKUP(C607,customers!$A$2:$A$1001,customers!$B$2:$B$1001,0)</f>
        <v>Wang Powlesland</v>
      </c>
      <c r="G607" s="2" t="str">
        <f>_xlfn.XLOOKUP(C607,customers!$A$2:$A$1001,customers!$C$2:$C$1001,0)</f>
        <v>wpowleslandgt@soundcloud.com</v>
      </c>
      <c r="H607" s="2" t="str">
        <f>_xlfn.XLOOKUP(orders!C607,customers!$A$2:$A$1001,customers!$G$2:$G$1001,0)</f>
        <v>United States</v>
      </c>
      <c r="I607" t="str">
        <f>INDEX(products!$A$1:$G$49,MATCH(orders!$D607,products!$A$1:$A$49,0),MATCH($I$1,products!$A$1:$G$1,0))</f>
        <v>Ara</v>
      </c>
      <c r="J607" t="str">
        <f>INDEX(products!$A$1:$G$49,MATCH(orders!$D607,products!$A$1:$A$49,0),MATCH($J$1,products!$A$1:$G$1,0))</f>
        <v>L</v>
      </c>
      <c r="K607" s="1">
        <f>INDEX(products!$A$1:$G$49,MATCH(orders!$D607,products!$A$1:$A$49,0),MATCH($K$1,products!$A$1:$G$1,0))</f>
        <v>2.5</v>
      </c>
      <c r="L607">
        <f>INDEX(products!$A$1:$G$49,MATCH(orders!$D607,products!$A$1:$A$49,0),MATCH($L$1,products!$A$1:$G$1,0))</f>
        <v>29.784999999999997</v>
      </c>
      <c r="M607">
        <f t="shared" si="28"/>
        <v>148.92499999999998</v>
      </c>
      <c r="N607" t="str">
        <f t="shared" si="29"/>
        <v>Arabica</v>
      </c>
      <c r="O607" t="str">
        <f t="shared" si="30"/>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_xlfn.XLOOKUP(C608,customers!$A$2:$A$1001,customers!$B$2:$B$1001,0)</f>
        <v>Cody Verissimo</v>
      </c>
      <c r="G608" s="2" t="str">
        <f>_xlfn.XLOOKUP(C608,customers!$A$2:$A$1001,customers!$C$2:$C$1001,0)</f>
        <v>cverissimogh@theglobeandmail.com</v>
      </c>
      <c r="H608" s="2" t="str">
        <f>_xlfn.XLOOKUP(orders!C608,customers!$A$2:$A$1001,customers!$G$2:$G$1001,0)</f>
        <v>United Kingdom</v>
      </c>
      <c r="I608" t="str">
        <f>INDEX(products!$A$1:$G$49,MATCH(orders!$D608,products!$A$1:$A$49,0),MATCH($I$1,products!$A$1:$G$1,0))</f>
        <v>Lib</v>
      </c>
      <c r="J608" t="str">
        <f>INDEX(products!$A$1:$G$49,MATCH(orders!$D608,products!$A$1:$A$49,0),MATCH($J$1,products!$A$1:$G$1,0))</f>
        <v>L</v>
      </c>
      <c r="K608" s="1">
        <f>INDEX(products!$A$1:$G$49,MATCH(orders!$D608,products!$A$1:$A$49,0),MATCH($K$1,products!$A$1:$G$1,0))</f>
        <v>2.5</v>
      </c>
      <c r="L608">
        <f>INDEX(products!$A$1:$G$49,MATCH(orders!$D608,products!$A$1:$A$49,0),MATCH($L$1,products!$A$1:$G$1,0))</f>
        <v>36.454999999999998</v>
      </c>
      <c r="M608">
        <f t="shared" si="28"/>
        <v>109.36499999999999</v>
      </c>
      <c r="N608" t="str">
        <f t="shared" si="29"/>
        <v>Liberica</v>
      </c>
      <c r="O608" t="str">
        <f t="shared" si="30"/>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_xlfn.XLOOKUP(C609,customers!$A$2:$A$1001,customers!$B$2:$B$1001,0)</f>
        <v>Laurence Ellingham</v>
      </c>
      <c r="G609" s="2" t="str">
        <f>_xlfn.XLOOKUP(C609,customers!$A$2:$A$1001,customers!$C$2:$C$1001,0)</f>
        <v>lellinghamgv@sciencedaily.com</v>
      </c>
      <c r="H609" s="2" t="str">
        <f>_xlfn.XLOOKUP(orders!C609,customers!$A$2:$A$1001,customers!$G$2:$G$1001,0)</f>
        <v>United States</v>
      </c>
      <c r="I609" t="str">
        <f>INDEX(products!$A$1:$G$49,MATCH(orders!$D609,products!$A$1:$A$49,0),MATCH($I$1,products!$A$1:$G$1,0))</f>
        <v>Exc</v>
      </c>
      <c r="J609" t="str">
        <f>INDEX(products!$A$1:$G$49,MATCH(orders!$D609,products!$A$1:$A$49,0),MATCH($J$1,products!$A$1:$G$1,0))</f>
        <v>D</v>
      </c>
      <c r="K609" s="1">
        <f>INDEX(products!$A$1:$G$49,MATCH(orders!$D609,products!$A$1:$A$49,0),MATCH($K$1,products!$A$1:$G$1,0))</f>
        <v>0.2</v>
      </c>
      <c r="L609">
        <f>INDEX(products!$A$1:$G$49,MATCH(orders!$D609,products!$A$1:$A$49,0),MATCH($L$1,products!$A$1:$G$1,0))</f>
        <v>3.645</v>
      </c>
      <c r="M609">
        <f t="shared" si="28"/>
        <v>3.645</v>
      </c>
      <c r="N609" t="str">
        <f t="shared" si="29"/>
        <v>Excelsa</v>
      </c>
      <c r="O609" t="str">
        <f t="shared" si="30"/>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_xlfn.XLOOKUP(C610,customers!$A$2:$A$1001,customers!$B$2:$B$1001,0)</f>
        <v>Billy Neiland</v>
      </c>
      <c r="G610" s="2">
        <f>_xlfn.XLOOKUP(C610,customers!$A$2:$A$1001,customers!$C$2:$C$1001,0)</f>
        <v>0</v>
      </c>
      <c r="H610" s="2" t="str">
        <f>_xlfn.XLOOKUP(orders!C610,customers!$A$2:$A$1001,customers!$G$2:$G$1001,0)</f>
        <v>United States</v>
      </c>
      <c r="I610" t="str">
        <f>INDEX(products!$A$1:$G$49,MATCH(orders!$D610,products!$A$1:$A$49,0),MATCH($I$1,products!$A$1:$G$1,0))</f>
        <v>Exc</v>
      </c>
      <c r="J610" t="str">
        <f>INDEX(products!$A$1:$G$49,MATCH(orders!$D610,products!$A$1:$A$49,0),MATCH($J$1,products!$A$1:$G$1,0))</f>
        <v>D</v>
      </c>
      <c r="K610" s="1">
        <f>INDEX(products!$A$1:$G$49,MATCH(orders!$D610,products!$A$1:$A$49,0),MATCH($K$1,products!$A$1:$G$1,0))</f>
        <v>2.5</v>
      </c>
      <c r="L610">
        <f>INDEX(products!$A$1:$G$49,MATCH(orders!$D610,products!$A$1:$A$49,0),MATCH($L$1,products!$A$1:$G$1,0))</f>
        <v>27.945</v>
      </c>
      <c r="M610">
        <f t="shared" si="28"/>
        <v>55.89</v>
      </c>
      <c r="N610" t="str">
        <f t="shared" si="29"/>
        <v>Excelsa</v>
      </c>
      <c r="O610" t="str">
        <f t="shared" si="30"/>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_xlfn.XLOOKUP(C611,customers!$A$2:$A$1001,customers!$B$2:$B$1001,0)</f>
        <v>Ancell Fendt</v>
      </c>
      <c r="G611" s="2" t="str">
        <f>_xlfn.XLOOKUP(C611,customers!$A$2:$A$1001,customers!$C$2:$C$1001,0)</f>
        <v>afendtgx@forbes.com</v>
      </c>
      <c r="H611" s="2" t="str">
        <f>_xlfn.XLOOKUP(orders!C611,customers!$A$2:$A$1001,customers!$G$2:$G$1001,0)</f>
        <v>United States</v>
      </c>
      <c r="I611" t="str">
        <f>INDEX(products!$A$1:$G$49,MATCH(orders!$D611,products!$A$1:$A$49,0),MATCH($I$1,products!$A$1:$G$1,0))</f>
        <v>Lib</v>
      </c>
      <c r="J611" t="str">
        <f>INDEX(products!$A$1:$G$49,MATCH(orders!$D611,products!$A$1:$A$49,0),MATCH($J$1,products!$A$1:$G$1,0))</f>
        <v>M</v>
      </c>
      <c r="K611" s="1">
        <f>INDEX(products!$A$1:$G$49,MATCH(orders!$D611,products!$A$1:$A$49,0),MATCH($K$1,products!$A$1:$G$1,0))</f>
        <v>0.2</v>
      </c>
      <c r="L611">
        <f>INDEX(products!$A$1:$G$49,MATCH(orders!$D611,products!$A$1:$A$49,0),MATCH($L$1,products!$A$1:$G$1,0))</f>
        <v>4.3650000000000002</v>
      </c>
      <c r="M611">
        <f t="shared" si="28"/>
        <v>26.19</v>
      </c>
      <c r="N611" t="str">
        <f t="shared" si="29"/>
        <v>Liberica</v>
      </c>
      <c r="O611" t="str">
        <f t="shared" si="30"/>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_xlfn.XLOOKUP(C612,customers!$A$2:$A$1001,customers!$B$2:$B$1001,0)</f>
        <v>Angelia Cleyburn</v>
      </c>
      <c r="G612" s="2" t="str">
        <f>_xlfn.XLOOKUP(C612,customers!$A$2:$A$1001,customers!$C$2:$C$1001,0)</f>
        <v>acleyburngy@lycos.com</v>
      </c>
      <c r="H612" s="2" t="str">
        <f>_xlfn.XLOOKUP(orders!C612,customers!$A$2:$A$1001,customers!$G$2:$G$1001,0)</f>
        <v>United States</v>
      </c>
      <c r="I612" t="str">
        <f>INDEX(products!$A$1:$G$49,MATCH(orders!$D612,products!$A$1:$A$49,0),MATCH($I$1,products!$A$1:$G$1,0))</f>
        <v>Rob</v>
      </c>
      <c r="J612" t="str">
        <f>INDEX(products!$A$1:$G$49,MATCH(orders!$D612,products!$A$1:$A$49,0),MATCH($J$1,products!$A$1:$G$1,0))</f>
        <v>M</v>
      </c>
      <c r="K612" s="1">
        <f>INDEX(products!$A$1:$G$49,MATCH(orders!$D612,products!$A$1:$A$49,0),MATCH($K$1,products!$A$1:$G$1,0))</f>
        <v>1</v>
      </c>
      <c r="L612">
        <f>INDEX(products!$A$1:$G$49,MATCH(orders!$D612,products!$A$1:$A$49,0),MATCH($L$1,products!$A$1:$G$1,0))</f>
        <v>9.9499999999999993</v>
      </c>
      <c r="M612">
        <f t="shared" si="28"/>
        <v>39.799999999999997</v>
      </c>
      <c r="N612" t="str">
        <f t="shared" si="29"/>
        <v>Robusta</v>
      </c>
      <c r="O612" t="str">
        <f t="shared" si="30"/>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_xlfn.XLOOKUP(C613,customers!$A$2:$A$1001,customers!$B$2:$B$1001,0)</f>
        <v>Temple Castiglione</v>
      </c>
      <c r="G613" s="2" t="str">
        <f>_xlfn.XLOOKUP(C613,customers!$A$2:$A$1001,customers!$C$2:$C$1001,0)</f>
        <v>tcastiglionegz@xing.com</v>
      </c>
      <c r="H613" s="2" t="str">
        <f>_xlfn.XLOOKUP(orders!C613,customers!$A$2:$A$1001,customers!$G$2:$G$1001,0)</f>
        <v>United States</v>
      </c>
      <c r="I613" t="str">
        <f>INDEX(products!$A$1:$G$49,MATCH(orders!$D613,products!$A$1:$A$49,0),MATCH($I$1,products!$A$1:$G$1,0))</f>
        <v>Exc</v>
      </c>
      <c r="J613" t="str">
        <f>INDEX(products!$A$1:$G$49,MATCH(orders!$D613,products!$A$1:$A$49,0),MATCH($J$1,products!$A$1:$G$1,0))</f>
        <v>L</v>
      </c>
      <c r="K613" s="1">
        <f>INDEX(products!$A$1:$G$49,MATCH(orders!$D613,products!$A$1:$A$49,0),MATCH($K$1,products!$A$1:$G$1,0))</f>
        <v>2.5</v>
      </c>
      <c r="L613">
        <f>INDEX(products!$A$1:$G$49,MATCH(orders!$D613,products!$A$1:$A$49,0),MATCH($L$1,products!$A$1:$G$1,0))</f>
        <v>34.154999999999994</v>
      </c>
      <c r="M613">
        <f t="shared" si="28"/>
        <v>68.309999999999988</v>
      </c>
      <c r="N613" t="str">
        <f t="shared" si="29"/>
        <v>Excelsa</v>
      </c>
      <c r="O613" t="str">
        <f t="shared" si="30"/>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_xlfn.XLOOKUP(C614,customers!$A$2:$A$1001,customers!$B$2:$B$1001,0)</f>
        <v>Betti Lacasa</v>
      </c>
      <c r="G614" s="2">
        <f>_xlfn.XLOOKUP(C614,customers!$A$2:$A$1001,customers!$C$2:$C$1001,0)</f>
        <v>0</v>
      </c>
      <c r="H614" s="2" t="str">
        <f>_xlfn.XLOOKUP(orders!C614,customers!$A$2:$A$1001,customers!$G$2:$G$1001,0)</f>
        <v>Ireland</v>
      </c>
      <c r="I614" t="str">
        <f>INDEX(products!$A$1:$G$49,MATCH(orders!$D614,products!$A$1:$A$49,0),MATCH($I$1,products!$A$1:$G$1,0))</f>
        <v>Ara</v>
      </c>
      <c r="J614" t="str">
        <f>INDEX(products!$A$1:$G$49,MATCH(orders!$D614,products!$A$1:$A$49,0),MATCH($J$1,products!$A$1:$G$1,0))</f>
        <v>M</v>
      </c>
      <c r="K614" s="1">
        <f>INDEX(products!$A$1:$G$49,MATCH(orders!$D614,products!$A$1:$A$49,0),MATCH($K$1,products!$A$1:$G$1,0))</f>
        <v>0.2</v>
      </c>
      <c r="L614">
        <f>INDEX(products!$A$1:$G$49,MATCH(orders!$D614,products!$A$1:$A$49,0),MATCH($L$1,products!$A$1:$G$1,0))</f>
        <v>3.375</v>
      </c>
      <c r="M614">
        <f t="shared" si="28"/>
        <v>13.5</v>
      </c>
      <c r="N614" t="str">
        <f t="shared" si="29"/>
        <v>Arabica</v>
      </c>
      <c r="O614" t="str">
        <f t="shared" si="30"/>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_xlfn.XLOOKUP(C615,customers!$A$2:$A$1001,customers!$B$2:$B$1001,0)</f>
        <v>Gunilla Lynch</v>
      </c>
      <c r="G615" s="2">
        <f>_xlfn.XLOOKUP(C615,customers!$A$2:$A$1001,customers!$C$2:$C$1001,0)</f>
        <v>0</v>
      </c>
      <c r="H615" s="2" t="str">
        <f>_xlfn.XLOOKUP(orders!C615,customers!$A$2:$A$1001,customers!$G$2:$G$1001,0)</f>
        <v>United States</v>
      </c>
      <c r="I615" t="str">
        <f>INDEX(products!$A$1:$G$49,MATCH(orders!$D615,products!$A$1:$A$49,0),MATCH($I$1,products!$A$1:$G$1,0))</f>
        <v>Rob</v>
      </c>
      <c r="J615" t="str">
        <f>INDEX(products!$A$1:$G$49,MATCH(orders!$D615,products!$A$1:$A$49,0),MATCH($J$1,products!$A$1:$G$1,0))</f>
        <v>M</v>
      </c>
      <c r="K615" s="1">
        <f>INDEX(products!$A$1:$G$49,MATCH(orders!$D615,products!$A$1:$A$49,0),MATCH($K$1,products!$A$1:$G$1,0))</f>
        <v>0.5</v>
      </c>
      <c r="L615">
        <f>INDEX(products!$A$1:$G$49,MATCH(orders!$D615,products!$A$1:$A$49,0),MATCH($L$1,products!$A$1:$G$1,0))</f>
        <v>5.97</v>
      </c>
      <c r="M615">
        <f t="shared" si="28"/>
        <v>5.97</v>
      </c>
      <c r="N615" t="str">
        <f t="shared" si="29"/>
        <v>Robusta</v>
      </c>
      <c r="O615" t="str">
        <f t="shared" si="30"/>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_xlfn.XLOOKUP(C616,customers!$A$2:$A$1001,customers!$B$2:$B$1001,0)</f>
        <v>Cody Verissimo</v>
      </c>
      <c r="G616" s="2" t="str">
        <f>_xlfn.XLOOKUP(C616,customers!$A$2:$A$1001,customers!$C$2:$C$1001,0)</f>
        <v>cverissimogh@theglobeandmail.com</v>
      </c>
      <c r="H616" s="2" t="str">
        <f>_xlfn.XLOOKUP(orders!C616,customers!$A$2:$A$1001,customers!$G$2:$G$1001,0)</f>
        <v>United Kingdom</v>
      </c>
      <c r="I616" t="str">
        <f>INDEX(products!$A$1:$G$49,MATCH(orders!$D616,products!$A$1:$A$49,0),MATCH($I$1,products!$A$1:$G$1,0))</f>
        <v>Rob</v>
      </c>
      <c r="J616" t="str">
        <f>INDEX(products!$A$1:$G$49,MATCH(orders!$D616,products!$A$1:$A$49,0),MATCH($J$1,products!$A$1:$G$1,0))</f>
        <v>M</v>
      </c>
      <c r="K616" s="1">
        <f>INDEX(products!$A$1:$G$49,MATCH(orders!$D616,products!$A$1:$A$49,0),MATCH($K$1,products!$A$1:$G$1,0))</f>
        <v>0.5</v>
      </c>
      <c r="L616">
        <f>INDEX(products!$A$1:$G$49,MATCH(orders!$D616,products!$A$1:$A$49,0),MATCH($L$1,products!$A$1:$G$1,0))</f>
        <v>5.97</v>
      </c>
      <c r="M616">
        <f t="shared" si="28"/>
        <v>29.849999999999998</v>
      </c>
      <c r="N616" t="str">
        <f t="shared" si="29"/>
        <v>Robusta</v>
      </c>
      <c r="O616" t="str">
        <f t="shared" si="30"/>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_xlfn.XLOOKUP(C617,customers!$A$2:$A$1001,customers!$B$2:$B$1001,0)</f>
        <v>Shay Couronne</v>
      </c>
      <c r="G617" s="2" t="str">
        <f>_xlfn.XLOOKUP(C617,customers!$A$2:$A$1001,customers!$C$2:$C$1001,0)</f>
        <v>scouronneh3@mozilla.org</v>
      </c>
      <c r="H617" s="2" t="str">
        <f>_xlfn.XLOOKUP(orders!C617,customers!$A$2:$A$1001,customers!$G$2:$G$1001,0)</f>
        <v>United States</v>
      </c>
      <c r="I617" t="str">
        <f>INDEX(products!$A$1:$G$49,MATCH(orders!$D617,products!$A$1:$A$49,0),MATCH($I$1,products!$A$1:$G$1,0))</f>
        <v>Lib</v>
      </c>
      <c r="J617" t="str">
        <f>INDEX(products!$A$1:$G$49,MATCH(orders!$D617,products!$A$1:$A$49,0),MATCH($J$1,products!$A$1:$G$1,0))</f>
        <v>L</v>
      </c>
      <c r="K617" s="1">
        <f>INDEX(products!$A$1:$G$49,MATCH(orders!$D617,products!$A$1:$A$49,0),MATCH($K$1,products!$A$1:$G$1,0))</f>
        <v>2.5</v>
      </c>
      <c r="L617">
        <f>INDEX(products!$A$1:$G$49,MATCH(orders!$D617,products!$A$1:$A$49,0),MATCH($L$1,products!$A$1:$G$1,0))</f>
        <v>36.454999999999998</v>
      </c>
      <c r="M617">
        <f t="shared" si="28"/>
        <v>72.91</v>
      </c>
      <c r="N617" t="str">
        <f t="shared" si="29"/>
        <v>Liberica</v>
      </c>
      <c r="O617" t="str">
        <f t="shared" si="30"/>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_xlfn.XLOOKUP(C618,customers!$A$2:$A$1001,customers!$B$2:$B$1001,0)</f>
        <v>Linus Flippelli</v>
      </c>
      <c r="G618" s="2" t="str">
        <f>_xlfn.XLOOKUP(C618,customers!$A$2:$A$1001,customers!$C$2:$C$1001,0)</f>
        <v>lflippellih4@github.io</v>
      </c>
      <c r="H618" s="2" t="str">
        <f>_xlfn.XLOOKUP(orders!C618,customers!$A$2:$A$1001,customers!$G$2:$G$1001,0)</f>
        <v>United Kingdom</v>
      </c>
      <c r="I618" t="str">
        <f>INDEX(products!$A$1:$G$49,MATCH(orders!$D618,products!$A$1:$A$49,0),MATCH($I$1,products!$A$1:$G$1,0))</f>
        <v>Exc</v>
      </c>
      <c r="J618" t="str">
        <f>INDEX(products!$A$1:$G$49,MATCH(orders!$D618,products!$A$1:$A$49,0),MATCH($J$1,products!$A$1:$G$1,0))</f>
        <v>M</v>
      </c>
      <c r="K618" s="1">
        <f>INDEX(products!$A$1:$G$49,MATCH(orders!$D618,products!$A$1:$A$49,0),MATCH($K$1,products!$A$1:$G$1,0))</f>
        <v>2.5</v>
      </c>
      <c r="L618">
        <f>INDEX(products!$A$1:$G$49,MATCH(orders!$D618,products!$A$1:$A$49,0),MATCH($L$1,products!$A$1:$G$1,0))</f>
        <v>31.624999999999996</v>
      </c>
      <c r="M618">
        <f t="shared" si="28"/>
        <v>126.49999999999999</v>
      </c>
      <c r="N618" t="str">
        <f t="shared" si="29"/>
        <v>Excelsa</v>
      </c>
      <c r="O618" t="str">
        <f t="shared" si="30"/>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_xlfn.XLOOKUP(C619,customers!$A$2:$A$1001,customers!$B$2:$B$1001,0)</f>
        <v>Rachelle Elizabeth</v>
      </c>
      <c r="G619" s="2" t="str">
        <f>_xlfn.XLOOKUP(C619,customers!$A$2:$A$1001,customers!$C$2:$C$1001,0)</f>
        <v>relizabethh5@live.com</v>
      </c>
      <c r="H619" s="2" t="str">
        <f>_xlfn.XLOOKUP(orders!C619,customers!$A$2:$A$1001,customers!$G$2:$G$1001,0)</f>
        <v>United States</v>
      </c>
      <c r="I619" t="str">
        <f>INDEX(products!$A$1:$G$49,MATCH(orders!$D619,products!$A$1:$A$49,0),MATCH($I$1,products!$A$1:$G$1,0))</f>
        <v>Lib</v>
      </c>
      <c r="J619" t="str">
        <f>INDEX(products!$A$1:$G$49,MATCH(orders!$D619,products!$A$1:$A$49,0),MATCH($J$1,products!$A$1:$G$1,0))</f>
        <v>M</v>
      </c>
      <c r="K619" s="1">
        <f>INDEX(products!$A$1:$G$49,MATCH(orders!$D619,products!$A$1:$A$49,0),MATCH($K$1,products!$A$1:$G$1,0))</f>
        <v>2.5</v>
      </c>
      <c r="L619">
        <f>INDEX(products!$A$1:$G$49,MATCH(orders!$D619,products!$A$1:$A$49,0),MATCH($L$1,products!$A$1:$G$1,0))</f>
        <v>33.464999999999996</v>
      </c>
      <c r="M619">
        <f t="shared" si="28"/>
        <v>33.464999999999996</v>
      </c>
      <c r="N619" t="str">
        <f t="shared" si="29"/>
        <v>Liberica</v>
      </c>
      <c r="O619" t="str">
        <f t="shared" si="30"/>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_xlfn.XLOOKUP(C620,customers!$A$2:$A$1001,customers!$B$2:$B$1001,0)</f>
        <v>Innis Renhard</v>
      </c>
      <c r="G620" s="2" t="str">
        <f>_xlfn.XLOOKUP(C620,customers!$A$2:$A$1001,customers!$C$2:$C$1001,0)</f>
        <v>irenhardh6@i2i.jp</v>
      </c>
      <c r="H620" s="2" t="str">
        <f>_xlfn.XLOOKUP(orders!C620,customers!$A$2:$A$1001,customers!$G$2:$G$1001,0)</f>
        <v>United States</v>
      </c>
      <c r="I620" t="str">
        <f>INDEX(products!$A$1:$G$49,MATCH(orders!$D620,products!$A$1:$A$49,0),MATCH($I$1,products!$A$1:$G$1,0))</f>
        <v>Exc</v>
      </c>
      <c r="J620" t="str">
        <f>INDEX(products!$A$1:$G$49,MATCH(orders!$D620,products!$A$1:$A$49,0),MATCH($J$1,products!$A$1:$G$1,0))</f>
        <v>D</v>
      </c>
      <c r="K620" s="1">
        <f>INDEX(products!$A$1:$G$49,MATCH(orders!$D620,products!$A$1:$A$49,0),MATCH($K$1,products!$A$1:$G$1,0))</f>
        <v>1</v>
      </c>
      <c r="L620">
        <f>INDEX(products!$A$1:$G$49,MATCH(orders!$D620,products!$A$1:$A$49,0),MATCH($L$1,products!$A$1:$G$1,0))</f>
        <v>12.15</v>
      </c>
      <c r="M620">
        <f t="shared" si="28"/>
        <v>72.900000000000006</v>
      </c>
      <c r="N620" t="str">
        <f t="shared" si="29"/>
        <v>Excelsa</v>
      </c>
      <c r="O620" t="str">
        <f t="shared" si="30"/>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_xlfn.XLOOKUP(C621,customers!$A$2:$A$1001,customers!$B$2:$B$1001,0)</f>
        <v>Winne Roche</v>
      </c>
      <c r="G621" s="2" t="str">
        <f>_xlfn.XLOOKUP(C621,customers!$A$2:$A$1001,customers!$C$2:$C$1001,0)</f>
        <v>wrocheh7@xinhuanet.com</v>
      </c>
      <c r="H621" s="2" t="str">
        <f>_xlfn.XLOOKUP(orders!C621,customers!$A$2:$A$1001,customers!$G$2:$G$1001,0)</f>
        <v>United States</v>
      </c>
      <c r="I621" t="str">
        <f>INDEX(products!$A$1:$G$49,MATCH(orders!$D621,products!$A$1:$A$49,0),MATCH($I$1,products!$A$1:$G$1,0))</f>
        <v>Lib</v>
      </c>
      <c r="J621" t="str">
        <f>INDEX(products!$A$1:$G$49,MATCH(orders!$D621,products!$A$1:$A$49,0),MATCH($J$1,products!$A$1:$G$1,0))</f>
        <v>D</v>
      </c>
      <c r="K621" s="1">
        <f>INDEX(products!$A$1:$G$49,MATCH(orders!$D621,products!$A$1:$A$49,0),MATCH($K$1,products!$A$1:$G$1,0))</f>
        <v>0.5</v>
      </c>
      <c r="L621">
        <f>INDEX(products!$A$1:$G$49,MATCH(orders!$D621,products!$A$1:$A$49,0),MATCH($L$1,products!$A$1:$G$1,0))</f>
        <v>7.77</v>
      </c>
      <c r="M621">
        <f t="shared" si="28"/>
        <v>15.54</v>
      </c>
      <c r="N621" t="str">
        <f t="shared" si="29"/>
        <v>Liberica</v>
      </c>
      <c r="O621" t="str">
        <f t="shared" si="30"/>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_xlfn.XLOOKUP(C622,customers!$A$2:$A$1001,customers!$B$2:$B$1001,0)</f>
        <v>Linn Alaway</v>
      </c>
      <c r="G622" s="2" t="str">
        <f>_xlfn.XLOOKUP(C622,customers!$A$2:$A$1001,customers!$C$2:$C$1001,0)</f>
        <v>lalawayhh@weather.com</v>
      </c>
      <c r="H622" s="2" t="str">
        <f>_xlfn.XLOOKUP(orders!C622,customers!$A$2:$A$1001,customers!$G$2:$G$1001,0)</f>
        <v>United States</v>
      </c>
      <c r="I622" t="str">
        <f>INDEX(products!$A$1:$G$49,MATCH(orders!$D622,products!$A$1:$A$49,0),MATCH($I$1,products!$A$1:$G$1,0))</f>
        <v>Ara</v>
      </c>
      <c r="J622" t="str">
        <f>INDEX(products!$A$1:$G$49,MATCH(orders!$D622,products!$A$1:$A$49,0),MATCH($J$1,products!$A$1:$G$1,0))</f>
        <v>M</v>
      </c>
      <c r="K622" s="1">
        <f>INDEX(products!$A$1:$G$49,MATCH(orders!$D622,products!$A$1:$A$49,0),MATCH($K$1,products!$A$1:$G$1,0))</f>
        <v>0.2</v>
      </c>
      <c r="L622">
        <f>INDEX(products!$A$1:$G$49,MATCH(orders!$D622,products!$A$1:$A$49,0),MATCH($L$1,products!$A$1:$G$1,0))</f>
        <v>3.375</v>
      </c>
      <c r="M622">
        <f t="shared" si="28"/>
        <v>20.25</v>
      </c>
      <c r="N622" t="str">
        <f t="shared" si="29"/>
        <v>Arabica</v>
      </c>
      <c r="O622" t="str">
        <f t="shared" si="30"/>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_xlfn.XLOOKUP(C623,customers!$A$2:$A$1001,customers!$B$2:$B$1001,0)</f>
        <v>Cordy Odgaard</v>
      </c>
      <c r="G623" s="2" t="str">
        <f>_xlfn.XLOOKUP(C623,customers!$A$2:$A$1001,customers!$C$2:$C$1001,0)</f>
        <v>codgaardh9@nsw.gov.au</v>
      </c>
      <c r="H623" s="2" t="str">
        <f>_xlfn.XLOOKUP(orders!C623,customers!$A$2:$A$1001,customers!$G$2:$G$1001,0)</f>
        <v>United States</v>
      </c>
      <c r="I623" t="str">
        <f>INDEX(products!$A$1:$G$49,MATCH(orders!$D623,products!$A$1:$A$49,0),MATCH($I$1,products!$A$1:$G$1,0))</f>
        <v>Ara</v>
      </c>
      <c r="J623" t="str">
        <f>INDEX(products!$A$1:$G$49,MATCH(orders!$D623,products!$A$1:$A$49,0),MATCH($J$1,products!$A$1:$G$1,0))</f>
        <v>L</v>
      </c>
      <c r="K623" s="1">
        <f>INDEX(products!$A$1:$G$49,MATCH(orders!$D623,products!$A$1:$A$49,0),MATCH($K$1,products!$A$1:$G$1,0))</f>
        <v>1</v>
      </c>
      <c r="L623">
        <f>INDEX(products!$A$1:$G$49,MATCH(orders!$D623,products!$A$1:$A$49,0),MATCH($L$1,products!$A$1:$G$1,0))</f>
        <v>12.95</v>
      </c>
      <c r="M623">
        <f t="shared" si="28"/>
        <v>77.699999999999989</v>
      </c>
      <c r="N623" t="str">
        <f t="shared" si="29"/>
        <v>Arabica</v>
      </c>
      <c r="O623" t="str">
        <f t="shared" si="30"/>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_xlfn.XLOOKUP(C624,customers!$A$2:$A$1001,customers!$B$2:$B$1001,0)</f>
        <v>Bertine Byrd</v>
      </c>
      <c r="G624" s="2" t="str">
        <f>_xlfn.XLOOKUP(C624,customers!$A$2:$A$1001,customers!$C$2:$C$1001,0)</f>
        <v>bbyrdha@4shared.com</v>
      </c>
      <c r="H624" s="2" t="str">
        <f>_xlfn.XLOOKUP(orders!C624,customers!$A$2:$A$1001,customers!$G$2:$G$1001,0)</f>
        <v>United States</v>
      </c>
      <c r="I624" t="str">
        <f>INDEX(products!$A$1:$G$49,MATCH(orders!$D624,products!$A$1:$A$49,0),MATCH($I$1,products!$A$1:$G$1,0))</f>
        <v>Lib</v>
      </c>
      <c r="J624" t="str">
        <f>INDEX(products!$A$1:$G$49,MATCH(orders!$D624,products!$A$1:$A$49,0),MATCH($J$1,products!$A$1:$G$1,0))</f>
        <v>M</v>
      </c>
      <c r="K624" s="1">
        <f>INDEX(products!$A$1:$G$49,MATCH(orders!$D624,products!$A$1:$A$49,0),MATCH($K$1,products!$A$1:$G$1,0))</f>
        <v>2.5</v>
      </c>
      <c r="L624">
        <f>INDEX(products!$A$1:$G$49,MATCH(orders!$D624,products!$A$1:$A$49,0),MATCH($L$1,products!$A$1:$G$1,0))</f>
        <v>33.464999999999996</v>
      </c>
      <c r="M624">
        <f t="shared" si="28"/>
        <v>133.85999999999999</v>
      </c>
      <c r="N624" t="str">
        <f t="shared" si="29"/>
        <v>Liberica</v>
      </c>
      <c r="O624" t="str">
        <f t="shared" si="30"/>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_xlfn.XLOOKUP(C625,customers!$A$2:$A$1001,customers!$B$2:$B$1001,0)</f>
        <v>Nelie Garnson</v>
      </c>
      <c r="G625" s="2">
        <f>_xlfn.XLOOKUP(C625,customers!$A$2:$A$1001,customers!$C$2:$C$1001,0)</f>
        <v>0</v>
      </c>
      <c r="H625" s="2" t="str">
        <f>_xlfn.XLOOKUP(orders!C625,customers!$A$2:$A$1001,customers!$G$2:$G$1001,0)</f>
        <v>United Kingdom</v>
      </c>
      <c r="I625" t="str">
        <f>INDEX(products!$A$1:$G$49,MATCH(orders!$D625,products!$A$1:$A$49,0),MATCH($I$1,products!$A$1:$G$1,0))</f>
        <v>Exc</v>
      </c>
      <c r="J625" t="str">
        <f>INDEX(products!$A$1:$G$49,MATCH(orders!$D625,products!$A$1:$A$49,0),MATCH($J$1,products!$A$1:$G$1,0))</f>
        <v>D</v>
      </c>
      <c r="K625" s="1">
        <f>INDEX(products!$A$1:$G$49,MATCH(orders!$D625,products!$A$1:$A$49,0),MATCH($K$1,products!$A$1:$G$1,0))</f>
        <v>1</v>
      </c>
      <c r="L625">
        <f>INDEX(products!$A$1:$G$49,MATCH(orders!$D625,products!$A$1:$A$49,0),MATCH($L$1,products!$A$1:$G$1,0))</f>
        <v>12.15</v>
      </c>
      <c r="M625">
        <f t="shared" si="28"/>
        <v>12.15</v>
      </c>
      <c r="N625" t="str">
        <f t="shared" si="29"/>
        <v>Excelsa</v>
      </c>
      <c r="O625" t="str">
        <f t="shared" si="30"/>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_xlfn.XLOOKUP(C626,customers!$A$2:$A$1001,customers!$B$2:$B$1001,0)</f>
        <v>Dianne Chardin</v>
      </c>
      <c r="G626" s="2" t="str">
        <f>_xlfn.XLOOKUP(C626,customers!$A$2:$A$1001,customers!$C$2:$C$1001,0)</f>
        <v>dchardinhc@nhs.uk</v>
      </c>
      <c r="H626" s="2" t="str">
        <f>_xlfn.XLOOKUP(orders!C626,customers!$A$2:$A$1001,customers!$G$2:$G$1001,0)</f>
        <v>Ireland</v>
      </c>
      <c r="I626" t="str">
        <f>INDEX(products!$A$1:$G$49,MATCH(orders!$D626,products!$A$1:$A$49,0),MATCH($I$1,products!$A$1:$G$1,0))</f>
        <v>Exc</v>
      </c>
      <c r="J626" t="str">
        <f>INDEX(products!$A$1:$G$49,MATCH(orders!$D626,products!$A$1:$A$49,0),MATCH($J$1,products!$A$1:$G$1,0))</f>
        <v>M</v>
      </c>
      <c r="K626" s="1">
        <f>INDEX(products!$A$1:$G$49,MATCH(orders!$D626,products!$A$1:$A$49,0),MATCH($K$1,products!$A$1:$G$1,0))</f>
        <v>2.5</v>
      </c>
      <c r="L626">
        <f>INDEX(products!$A$1:$G$49,MATCH(orders!$D626,products!$A$1:$A$49,0),MATCH($L$1,products!$A$1:$G$1,0))</f>
        <v>31.624999999999996</v>
      </c>
      <c r="M626">
        <f t="shared" si="28"/>
        <v>63.249999999999993</v>
      </c>
      <c r="N626" t="str">
        <f t="shared" si="29"/>
        <v>Excelsa</v>
      </c>
      <c r="O626" t="str">
        <f t="shared" si="30"/>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_xlfn.XLOOKUP(C627,customers!$A$2:$A$1001,customers!$B$2:$B$1001,0)</f>
        <v>Hailee Radbone</v>
      </c>
      <c r="G627" s="2" t="str">
        <f>_xlfn.XLOOKUP(C627,customers!$A$2:$A$1001,customers!$C$2:$C$1001,0)</f>
        <v>hradbonehd@newsvine.com</v>
      </c>
      <c r="H627" s="2" t="str">
        <f>_xlfn.XLOOKUP(orders!C627,customers!$A$2:$A$1001,customers!$G$2:$G$1001,0)</f>
        <v>United States</v>
      </c>
      <c r="I627" t="str">
        <f>INDEX(products!$A$1:$G$49,MATCH(orders!$D627,products!$A$1:$A$49,0),MATCH($I$1,products!$A$1:$G$1,0))</f>
        <v>Rob</v>
      </c>
      <c r="J627" t="str">
        <f>INDEX(products!$A$1:$G$49,MATCH(orders!$D627,products!$A$1:$A$49,0),MATCH($J$1,products!$A$1:$G$1,0))</f>
        <v>L</v>
      </c>
      <c r="K627" s="1">
        <f>INDEX(products!$A$1:$G$49,MATCH(orders!$D627,products!$A$1:$A$49,0),MATCH($K$1,products!$A$1:$G$1,0))</f>
        <v>0.5</v>
      </c>
      <c r="L627">
        <f>INDEX(products!$A$1:$G$49,MATCH(orders!$D627,products!$A$1:$A$49,0),MATCH($L$1,products!$A$1:$G$1,0))</f>
        <v>7.169999999999999</v>
      </c>
      <c r="M627">
        <f t="shared" si="28"/>
        <v>35.849999999999994</v>
      </c>
      <c r="N627" t="str">
        <f t="shared" si="29"/>
        <v>Robusta</v>
      </c>
      <c r="O627" t="str">
        <f t="shared" si="30"/>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_xlfn.XLOOKUP(C628,customers!$A$2:$A$1001,customers!$B$2:$B$1001,0)</f>
        <v>Wallis Bernth</v>
      </c>
      <c r="G628" s="2" t="str">
        <f>_xlfn.XLOOKUP(C628,customers!$A$2:$A$1001,customers!$C$2:$C$1001,0)</f>
        <v>wbernthhe@miitbeian.gov.cn</v>
      </c>
      <c r="H628" s="2" t="str">
        <f>_xlfn.XLOOKUP(orders!C628,customers!$A$2:$A$1001,customers!$G$2:$G$1001,0)</f>
        <v>United States</v>
      </c>
      <c r="I628" t="str">
        <f>INDEX(products!$A$1:$G$49,MATCH(orders!$D628,products!$A$1:$A$49,0),MATCH($I$1,products!$A$1:$G$1,0))</f>
        <v>Ara</v>
      </c>
      <c r="J628" t="str">
        <f>INDEX(products!$A$1:$G$49,MATCH(orders!$D628,products!$A$1:$A$49,0),MATCH($J$1,products!$A$1:$G$1,0))</f>
        <v>M</v>
      </c>
      <c r="K628" s="1">
        <f>INDEX(products!$A$1:$G$49,MATCH(orders!$D628,products!$A$1:$A$49,0),MATCH($K$1,products!$A$1:$G$1,0))</f>
        <v>2.5</v>
      </c>
      <c r="L628">
        <f>INDEX(products!$A$1:$G$49,MATCH(orders!$D628,products!$A$1:$A$49,0),MATCH($L$1,products!$A$1:$G$1,0))</f>
        <v>25.874999999999996</v>
      </c>
      <c r="M628">
        <f t="shared" si="28"/>
        <v>77.624999999999986</v>
      </c>
      <c r="N628" t="str">
        <f t="shared" si="29"/>
        <v>Arabica</v>
      </c>
      <c r="O628" t="str">
        <f t="shared" si="30"/>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_xlfn.XLOOKUP(C629,customers!$A$2:$A$1001,customers!$B$2:$B$1001,0)</f>
        <v>Byron Acarson</v>
      </c>
      <c r="G629" s="2" t="str">
        <f>_xlfn.XLOOKUP(C629,customers!$A$2:$A$1001,customers!$C$2:$C$1001,0)</f>
        <v>bacarsonhf@cnn.com</v>
      </c>
      <c r="H629" s="2" t="str">
        <f>_xlfn.XLOOKUP(orders!C629,customers!$A$2:$A$1001,customers!$G$2:$G$1001,0)</f>
        <v>United States</v>
      </c>
      <c r="I629" t="str">
        <f>INDEX(products!$A$1:$G$49,MATCH(orders!$D629,products!$A$1:$A$49,0),MATCH($I$1,products!$A$1:$G$1,0))</f>
        <v>Exc</v>
      </c>
      <c r="J629" t="str">
        <f>INDEX(products!$A$1:$G$49,MATCH(orders!$D629,products!$A$1:$A$49,0),MATCH($J$1,products!$A$1:$G$1,0))</f>
        <v>M</v>
      </c>
      <c r="K629" s="1">
        <f>INDEX(products!$A$1:$G$49,MATCH(orders!$D629,products!$A$1:$A$49,0),MATCH($K$1,products!$A$1:$G$1,0))</f>
        <v>2.5</v>
      </c>
      <c r="L629">
        <f>INDEX(products!$A$1:$G$49,MATCH(orders!$D629,products!$A$1:$A$49,0),MATCH($L$1,products!$A$1:$G$1,0))</f>
        <v>31.624999999999996</v>
      </c>
      <c r="M629">
        <f t="shared" si="28"/>
        <v>63.249999999999993</v>
      </c>
      <c r="N629" t="str">
        <f t="shared" si="29"/>
        <v>Excelsa</v>
      </c>
      <c r="O629" t="str">
        <f t="shared" si="30"/>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_xlfn.XLOOKUP(C630,customers!$A$2:$A$1001,customers!$B$2:$B$1001,0)</f>
        <v>Faunie Brigham</v>
      </c>
      <c r="G630" s="2" t="str">
        <f>_xlfn.XLOOKUP(C630,customers!$A$2:$A$1001,customers!$C$2:$C$1001,0)</f>
        <v>fbrighamhg@blog.com</v>
      </c>
      <c r="H630" s="2" t="str">
        <f>_xlfn.XLOOKUP(orders!C630,customers!$A$2:$A$1001,customers!$G$2:$G$1001,0)</f>
        <v>Ireland</v>
      </c>
      <c r="I630" t="str">
        <f>INDEX(products!$A$1:$G$49,MATCH(orders!$D630,products!$A$1:$A$49,0),MATCH($I$1,products!$A$1:$G$1,0))</f>
        <v>Exc</v>
      </c>
      <c r="J630" t="str">
        <f>INDEX(products!$A$1:$G$49,MATCH(orders!$D630,products!$A$1:$A$49,0),MATCH($J$1,products!$A$1:$G$1,0))</f>
        <v>L</v>
      </c>
      <c r="K630" s="1">
        <f>INDEX(products!$A$1:$G$49,MATCH(orders!$D630,products!$A$1:$A$49,0),MATCH($K$1,products!$A$1:$G$1,0))</f>
        <v>0.2</v>
      </c>
      <c r="L630">
        <f>INDEX(products!$A$1:$G$49,MATCH(orders!$D630,products!$A$1:$A$49,0),MATCH($L$1,products!$A$1:$G$1,0))</f>
        <v>4.4550000000000001</v>
      </c>
      <c r="M630">
        <f t="shared" si="28"/>
        <v>26.73</v>
      </c>
      <c r="N630" t="str">
        <f t="shared" si="29"/>
        <v>Excelsa</v>
      </c>
      <c r="O630" t="str">
        <f t="shared" si="30"/>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_xlfn.XLOOKUP(C631,customers!$A$2:$A$1001,customers!$B$2:$B$1001,0)</f>
        <v>Faunie Brigham</v>
      </c>
      <c r="G631" s="2" t="str">
        <f>_xlfn.XLOOKUP(C631,customers!$A$2:$A$1001,customers!$C$2:$C$1001,0)</f>
        <v>fbrighamhg@blog.com</v>
      </c>
      <c r="H631" s="2" t="str">
        <f>_xlfn.XLOOKUP(orders!C631,customers!$A$2:$A$1001,customers!$G$2:$G$1001,0)</f>
        <v>Ireland</v>
      </c>
      <c r="I631" t="str">
        <f>INDEX(products!$A$1:$G$49,MATCH(orders!$D631,products!$A$1:$A$49,0),MATCH($I$1,products!$A$1:$G$1,0))</f>
        <v>Lib</v>
      </c>
      <c r="J631" t="str">
        <f>INDEX(products!$A$1:$G$49,MATCH(orders!$D631,products!$A$1:$A$49,0),MATCH($J$1,products!$A$1:$G$1,0))</f>
        <v>D</v>
      </c>
      <c r="K631" s="1">
        <f>INDEX(products!$A$1:$G$49,MATCH(orders!$D631,products!$A$1:$A$49,0),MATCH($K$1,products!$A$1:$G$1,0))</f>
        <v>0.5</v>
      </c>
      <c r="L631">
        <f>INDEX(products!$A$1:$G$49,MATCH(orders!$D631,products!$A$1:$A$49,0),MATCH($L$1,products!$A$1:$G$1,0))</f>
        <v>7.77</v>
      </c>
      <c r="M631">
        <f t="shared" si="28"/>
        <v>31.08</v>
      </c>
      <c r="N631" t="str">
        <f t="shared" si="29"/>
        <v>Liberica</v>
      </c>
      <c r="O631" t="str">
        <f t="shared" si="30"/>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_xlfn.XLOOKUP(C632,customers!$A$2:$A$1001,customers!$B$2:$B$1001,0)</f>
        <v>Faunie Brigham</v>
      </c>
      <c r="G632" s="2" t="str">
        <f>_xlfn.XLOOKUP(C632,customers!$A$2:$A$1001,customers!$C$2:$C$1001,0)</f>
        <v>fbrighamhg@blog.com</v>
      </c>
      <c r="H632" s="2" t="str">
        <f>_xlfn.XLOOKUP(orders!C632,customers!$A$2:$A$1001,customers!$G$2:$G$1001,0)</f>
        <v>Ireland</v>
      </c>
      <c r="I632" t="str">
        <f>INDEX(products!$A$1:$G$49,MATCH(orders!$D632,products!$A$1:$A$49,0),MATCH($I$1,products!$A$1:$G$1,0))</f>
        <v>Ara</v>
      </c>
      <c r="J632" t="str">
        <f>INDEX(products!$A$1:$G$49,MATCH(orders!$D632,products!$A$1:$A$49,0),MATCH($J$1,products!$A$1:$G$1,0))</f>
        <v>D</v>
      </c>
      <c r="K632" s="1">
        <f>INDEX(products!$A$1:$G$49,MATCH(orders!$D632,products!$A$1:$A$49,0),MATCH($K$1,products!$A$1:$G$1,0))</f>
        <v>0.2</v>
      </c>
      <c r="L632">
        <f>INDEX(products!$A$1:$G$49,MATCH(orders!$D632,products!$A$1:$A$49,0),MATCH($L$1,products!$A$1:$G$1,0))</f>
        <v>2.9849999999999999</v>
      </c>
      <c r="M632">
        <f t="shared" si="28"/>
        <v>2.9849999999999999</v>
      </c>
      <c r="N632" t="str">
        <f t="shared" si="29"/>
        <v>Arabica</v>
      </c>
      <c r="O632" t="str">
        <f t="shared" si="30"/>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_xlfn.XLOOKUP(C633,customers!$A$2:$A$1001,customers!$B$2:$B$1001,0)</f>
        <v>Faunie Brigham</v>
      </c>
      <c r="G633" s="2" t="str">
        <f>_xlfn.XLOOKUP(C633,customers!$A$2:$A$1001,customers!$C$2:$C$1001,0)</f>
        <v>fbrighamhg@blog.com</v>
      </c>
      <c r="H633" s="2" t="str">
        <f>_xlfn.XLOOKUP(orders!C633,customers!$A$2:$A$1001,customers!$G$2:$G$1001,0)</f>
        <v>Ireland</v>
      </c>
      <c r="I633" t="str">
        <f>INDEX(products!$A$1:$G$49,MATCH(orders!$D633,products!$A$1:$A$49,0),MATCH($I$1,products!$A$1:$G$1,0))</f>
        <v>Rob</v>
      </c>
      <c r="J633" t="str">
        <f>INDEX(products!$A$1:$G$49,MATCH(orders!$D633,products!$A$1:$A$49,0),MATCH($J$1,products!$A$1:$G$1,0))</f>
        <v>D</v>
      </c>
      <c r="K633" s="1">
        <f>INDEX(products!$A$1:$G$49,MATCH(orders!$D633,products!$A$1:$A$49,0),MATCH($K$1,products!$A$1:$G$1,0))</f>
        <v>2.5</v>
      </c>
      <c r="L633">
        <f>INDEX(products!$A$1:$G$49,MATCH(orders!$D633,products!$A$1:$A$49,0),MATCH($L$1,products!$A$1:$G$1,0))</f>
        <v>20.584999999999997</v>
      </c>
      <c r="M633">
        <f t="shared" si="28"/>
        <v>102.92499999999998</v>
      </c>
      <c r="N633" t="str">
        <f t="shared" si="29"/>
        <v>Robusta</v>
      </c>
      <c r="O633" t="str">
        <f t="shared" si="30"/>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_xlfn.XLOOKUP(C634,customers!$A$2:$A$1001,customers!$B$2:$B$1001,0)</f>
        <v>Marjorie Yoxen</v>
      </c>
      <c r="G634" s="2" t="str">
        <f>_xlfn.XLOOKUP(C634,customers!$A$2:$A$1001,customers!$C$2:$C$1001,0)</f>
        <v>myoxenhk@google.com</v>
      </c>
      <c r="H634" s="2" t="str">
        <f>_xlfn.XLOOKUP(orders!C634,customers!$A$2:$A$1001,customers!$G$2:$G$1001,0)</f>
        <v>United States</v>
      </c>
      <c r="I634" t="str">
        <f>INDEX(products!$A$1:$G$49,MATCH(orders!$D634,products!$A$1:$A$49,0),MATCH($I$1,products!$A$1:$G$1,0))</f>
        <v>Exc</v>
      </c>
      <c r="J634" t="str">
        <f>INDEX(products!$A$1:$G$49,MATCH(orders!$D634,products!$A$1:$A$49,0),MATCH($J$1,products!$A$1:$G$1,0))</f>
        <v>L</v>
      </c>
      <c r="K634" s="1">
        <f>INDEX(products!$A$1:$G$49,MATCH(orders!$D634,products!$A$1:$A$49,0),MATCH($K$1,products!$A$1:$G$1,0))</f>
        <v>0.5</v>
      </c>
      <c r="L634">
        <f>INDEX(products!$A$1:$G$49,MATCH(orders!$D634,products!$A$1:$A$49,0),MATCH($L$1,products!$A$1:$G$1,0))</f>
        <v>8.91</v>
      </c>
      <c r="M634">
        <f t="shared" si="28"/>
        <v>35.64</v>
      </c>
      <c r="N634" t="str">
        <f t="shared" si="29"/>
        <v>Excelsa</v>
      </c>
      <c r="O634" t="str">
        <f t="shared" si="30"/>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_xlfn.XLOOKUP(C635,customers!$A$2:$A$1001,customers!$B$2:$B$1001,0)</f>
        <v>Gaspar McGavin</v>
      </c>
      <c r="G635" s="2" t="str">
        <f>_xlfn.XLOOKUP(C635,customers!$A$2:$A$1001,customers!$C$2:$C$1001,0)</f>
        <v>gmcgavinhl@histats.com</v>
      </c>
      <c r="H635" s="2" t="str">
        <f>_xlfn.XLOOKUP(orders!C635,customers!$A$2:$A$1001,customers!$G$2:$G$1001,0)</f>
        <v>United States</v>
      </c>
      <c r="I635" t="str">
        <f>INDEX(products!$A$1:$G$49,MATCH(orders!$D635,products!$A$1:$A$49,0),MATCH($I$1,products!$A$1:$G$1,0))</f>
        <v>Rob</v>
      </c>
      <c r="J635" t="str">
        <f>INDEX(products!$A$1:$G$49,MATCH(orders!$D635,products!$A$1:$A$49,0),MATCH($J$1,products!$A$1:$G$1,0))</f>
        <v>L</v>
      </c>
      <c r="K635" s="1">
        <f>INDEX(products!$A$1:$G$49,MATCH(orders!$D635,products!$A$1:$A$49,0),MATCH($K$1,products!$A$1:$G$1,0))</f>
        <v>1</v>
      </c>
      <c r="L635">
        <f>INDEX(products!$A$1:$G$49,MATCH(orders!$D635,products!$A$1:$A$49,0),MATCH($L$1,products!$A$1:$G$1,0))</f>
        <v>11.95</v>
      </c>
      <c r="M635">
        <f t="shared" si="28"/>
        <v>47.8</v>
      </c>
      <c r="N635" t="str">
        <f t="shared" si="29"/>
        <v>Robusta</v>
      </c>
      <c r="O635" t="str">
        <f t="shared" si="30"/>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_xlfn.XLOOKUP(C636,customers!$A$2:$A$1001,customers!$B$2:$B$1001,0)</f>
        <v>Lindy Uttermare</v>
      </c>
      <c r="G636" s="2" t="str">
        <f>_xlfn.XLOOKUP(C636,customers!$A$2:$A$1001,customers!$C$2:$C$1001,0)</f>
        <v>luttermarehm@engadget.com</v>
      </c>
      <c r="H636" s="2" t="str">
        <f>_xlfn.XLOOKUP(orders!C636,customers!$A$2:$A$1001,customers!$G$2:$G$1001,0)</f>
        <v>United States</v>
      </c>
      <c r="I636" t="str">
        <f>INDEX(products!$A$1:$G$49,MATCH(orders!$D636,products!$A$1:$A$49,0),MATCH($I$1,products!$A$1:$G$1,0))</f>
        <v>Lib</v>
      </c>
      <c r="J636" t="str">
        <f>INDEX(products!$A$1:$G$49,MATCH(orders!$D636,products!$A$1:$A$49,0),MATCH($J$1,products!$A$1:$G$1,0))</f>
        <v>M</v>
      </c>
      <c r="K636" s="1">
        <f>INDEX(products!$A$1:$G$49,MATCH(orders!$D636,products!$A$1:$A$49,0),MATCH($K$1,products!$A$1:$G$1,0))</f>
        <v>1</v>
      </c>
      <c r="L636">
        <f>INDEX(products!$A$1:$G$49,MATCH(orders!$D636,products!$A$1:$A$49,0),MATCH($L$1,products!$A$1:$G$1,0))</f>
        <v>14.55</v>
      </c>
      <c r="M636">
        <f t="shared" si="28"/>
        <v>43.650000000000006</v>
      </c>
      <c r="N636" t="str">
        <f t="shared" si="29"/>
        <v>Liberica</v>
      </c>
      <c r="O636" t="str">
        <f t="shared" si="30"/>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_xlfn.XLOOKUP(C637,customers!$A$2:$A$1001,customers!$B$2:$B$1001,0)</f>
        <v>Eal D'Ambrogio</v>
      </c>
      <c r="G637" s="2" t="str">
        <f>_xlfn.XLOOKUP(C637,customers!$A$2:$A$1001,customers!$C$2:$C$1001,0)</f>
        <v>edambrogiohn@techcrunch.com</v>
      </c>
      <c r="H637" s="2" t="str">
        <f>_xlfn.XLOOKUP(orders!C637,customers!$A$2:$A$1001,customers!$G$2:$G$1001,0)</f>
        <v>United States</v>
      </c>
      <c r="I637" t="str">
        <f>INDEX(products!$A$1:$G$49,MATCH(orders!$D637,products!$A$1:$A$49,0),MATCH($I$1,products!$A$1:$G$1,0))</f>
        <v>Exc</v>
      </c>
      <c r="J637" t="str">
        <f>INDEX(products!$A$1:$G$49,MATCH(orders!$D637,products!$A$1:$A$49,0),MATCH($J$1,products!$A$1:$G$1,0))</f>
        <v>L</v>
      </c>
      <c r="K637" s="1">
        <f>INDEX(products!$A$1:$G$49,MATCH(orders!$D637,products!$A$1:$A$49,0),MATCH($K$1,products!$A$1:$G$1,0))</f>
        <v>0.5</v>
      </c>
      <c r="L637">
        <f>INDEX(products!$A$1:$G$49,MATCH(orders!$D637,products!$A$1:$A$49,0),MATCH($L$1,products!$A$1:$G$1,0))</f>
        <v>8.91</v>
      </c>
      <c r="M637">
        <f t="shared" si="28"/>
        <v>35.64</v>
      </c>
      <c r="N637" t="str">
        <f t="shared" si="29"/>
        <v>Excelsa</v>
      </c>
      <c r="O637" t="str">
        <f t="shared" si="30"/>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_xlfn.XLOOKUP(C638,customers!$A$2:$A$1001,customers!$B$2:$B$1001,0)</f>
        <v>Carolee Winchcombe</v>
      </c>
      <c r="G638" s="2" t="str">
        <f>_xlfn.XLOOKUP(C638,customers!$A$2:$A$1001,customers!$C$2:$C$1001,0)</f>
        <v>cwinchcombeho@jiathis.com</v>
      </c>
      <c r="H638" s="2" t="str">
        <f>_xlfn.XLOOKUP(orders!C638,customers!$A$2:$A$1001,customers!$G$2:$G$1001,0)</f>
        <v>United States</v>
      </c>
      <c r="I638" t="str">
        <f>INDEX(products!$A$1:$G$49,MATCH(orders!$D638,products!$A$1:$A$49,0),MATCH($I$1,products!$A$1:$G$1,0))</f>
        <v>Lib</v>
      </c>
      <c r="J638" t="str">
        <f>INDEX(products!$A$1:$G$49,MATCH(orders!$D638,products!$A$1:$A$49,0),MATCH($J$1,products!$A$1:$G$1,0))</f>
        <v>L</v>
      </c>
      <c r="K638" s="1">
        <f>INDEX(products!$A$1:$G$49,MATCH(orders!$D638,products!$A$1:$A$49,0),MATCH($K$1,products!$A$1:$G$1,0))</f>
        <v>1</v>
      </c>
      <c r="L638">
        <f>INDEX(products!$A$1:$G$49,MATCH(orders!$D638,products!$A$1:$A$49,0),MATCH($L$1,products!$A$1:$G$1,0))</f>
        <v>15.85</v>
      </c>
      <c r="M638">
        <f t="shared" si="28"/>
        <v>95.1</v>
      </c>
      <c r="N638" t="str">
        <f t="shared" si="29"/>
        <v>Liberica</v>
      </c>
      <c r="O638" t="str">
        <f t="shared" si="30"/>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_xlfn.XLOOKUP(C639,customers!$A$2:$A$1001,customers!$B$2:$B$1001,0)</f>
        <v>Benedikta Paumier</v>
      </c>
      <c r="G639" s="2" t="str">
        <f>_xlfn.XLOOKUP(C639,customers!$A$2:$A$1001,customers!$C$2:$C$1001,0)</f>
        <v>bpaumierhp@umn.edu</v>
      </c>
      <c r="H639" s="2" t="str">
        <f>_xlfn.XLOOKUP(orders!C639,customers!$A$2:$A$1001,customers!$G$2:$G$1001,0)</f>
        <v>Ireland</v>
      </c>
      <c r="I639" t="str">
        <f>INDEX(products!$A$1:$G$49,MATCH(orders!$D639,products!$A$1:$A$49,0),MATCH($I$1,products!$A$1:$G$1,0))</f>
        <v>Exc</v>
      </c>
      <c r="J639" t="str">
        <f>INDEX(products!$A$1:$G$49,MATCH(orders!$D639,products!$A$1:$A$49,0),MATCH($J$1,products!$A$1:$G$1,0))</f>
        <v>M</v>
      </c>
      <c r="K639" s="1">
        <f>INDEX(products!$A$1:$G$49,MATCH(orders!$D639,products!$A$1:$A$49,0),MATCH($K$1,products!$A$1:$G$1,0))</f>
        <v>2.5</v>
      </c>
      <c r="L639">
        <f>INDEX(products!$A$1:$G$49,MATCH(orders!$D639,products!$A$1:$A$49,0),MATCH($L$1,products!$A$1:$G$1,0))</f>
        <v>31.624999999999996</v>
      </c>
      <c r="M639">
        <f t="shared" si="28"/>
        <v>31.624999999999996</v>
      </c>
      <c r="N639" t="str">
        <f t="shared" si="29"/>
        <v>Excelsa</v>
      </c>
      <c r="O639" t="str">
        <f t="shared" si="30"/>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_xlfn.XLOOKUP(C640,customers!$A$2:$A$1001,customers!$B$2:$B$1001,0)</f>
        <v>Neville Piatto</v>
      </c>
      <c r="G640" s="2">
        <f>_xlfn.XLOOKUP(C640,customers!$A$2:$A$1001,customers!$C$2:$C$1001,0)</f>
        <v>0</v>
      </c>
      <c r="H640" s="2" t="str">
        <f>_xlfn.XLOOKUP(orders!C640,customers!$A$2:$A$1001,customers!$G$2:$G$1001,0)</f>
        <v>Ireland</v>
      </c>
      <c r="I640" t="str">
        <f>INDEX(products!$A$1:$G$49,MATCH(orders!$D640,products!$A$1:$A$49,0),MATCH($I$1,products!$A$1:$G$1,0))</f>
        <v>Ara</v>
      </c>
      <c r="J640" t="str">
        <f>INDEX(products!$A$1:$G$49,MATCH(orders!$D640,products!$A$1:$A$49,0),MATCH($J$1,products!$A$1:$G$1,0))</f>
        <v>M</v>
      </c>
      <c r="K640" s="1">
        <f>INDEX(products!$A$1:$G$49,MATCH(orders!$D640,products!$A$1:$A$49,0),MATCH($K$1,products!$A$1:$G$1,0))</f>
        <v>2.5</v>
      </c>
      <c r="L640">
        <f>INDEX(products!$A$1:$G$49,MATCH(orders!$D640,products!$A$1:$A$49,0),MATCH($L$1,products!$A$1:$G$1,0))</f>
        <v>25.874999999999996</v>
      </c>
      <c r="M640">
        <f t="shared" si="28"/>
        <v>77.624999999999986</v>
      </c>
      <c r="N640" t="str">
        <f t="shared" si="29"/>
        <v>Arabica</v>
      </c>
      <c r="O640" t="str">
        <f t="shared" si="30"/>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_xlfn.XLOOKUP(C641,customers!$A$2:$A$1001,customers!$B$2:$B$1001,0)</f>
        <v>Jeno Capey</v>
      </c>
      <c r="G641" s="2" t="str">
        <f>_xlfn.XLOOKUP(C641,customers!$A$2:$A$1001,customers!$C$2:$C$1001,0)</f>
        <v>jcapeyhr@bravesites.com</v>
      </c>
      <c r="H641" s="2" t="str">
        <f>_xlfn.XLOOKUP(orders!C641,customers!$A$2:$A$1001,customers!$G$2:$G$1001,0)</f>
        <v>United States</v>
      </c>
      <c r="I641" t="str">
        <f>INDEX(products!$A$1:$G$49,MATCH(orders!$D641,products!$A$1:$A$49,0),MATCH($I$1,products!$A$1:$G$1,0))</f>
        <v>Lib</v>
      </c>
      <c r="J641" t="str">
        <f>INDEX(products!$A$1:$G$49,MATCH(orders!$D641,products!$A$1:$A$49,0),MATCH($J$1,products!$A$1:$G$1,0))</f>
        <v>D</v>
      </c>
      <c r="K641" s="1">
        <f>INDEX(products!$A$1:$G$49,MATCH(orders!$D641,products!$A$1:$A$49,0),MATCH($K$1,products!$A$1:$G$1,0))</f>
        <v>0.2</v>
      </c>
      <c r="L641">
        <f>INDEX(products!$A$1:$G$49,MATCH(orders!$D641,products!$A$1:$A$49,0),MATCH($L$1,products!$A$1:$G$1,0))</f>
        <v>3.8849999999999998</v>
      </c>
      <c r="M641">
        <f t="shared" si="28"/>
        <v>3.8849999999999998</v>
      </c>
      <c r="N641" t="str">
        <f t="shared" si="29"/>
        <v>Liberica</v>
      </c>
      <c r="O641" t="str">
        <f t="shared" si="30"/>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_xlfn.XLOOKUP(C642,customers!$A$2:$A$1001,customers!$B$2:$B$1001,0)</f>
        <v>Tuckie Mathonnet</v>
      </c>
      <c r="G642" s="2" t="str">
        <f>_xlfn.XLOOKUP(C642,customers!$A$2:$A$1001,customers!$C$2:$C$1001,0)</f>
        <v>tmathonneti0@google.co.jp</v>
      </c>
      <c r="H642" s="2" t="str">
        <f>_xlfn.XLOOKUP(orders!C642,customers!$A$2:$A$1001,customers!$G$2:$G$1001,0)</f>
        <v>United States</v>
      </c>
      <c r="I642" t="str">
        <f>INDEX(products!$A$1:$G$49,MATCH(orders!$D642,products!$A$1:$A$49,0),MATCH($I$1,products!$A$1:$G$1,0))</f>
        <v>Rob</v>
      </c>
      <c r="J642" t="str">
        <f>INDEX(products!$A$1:$G$49,MATCH(orders!$D642,products!$A$1:$A$49,0),MATCH($J$1,products!$A$1:$G$1,0))</f>
        <v>L</v>
      </c>
      <c r="K642" s="1">
        <f>INDEX(products!$A$1:$G$49,MATCH(orders!$D642,products!$A$1:$A$49,0),MATCH($K$1,products!$A$1:$G$1,0))</f>
        <v>2.5</v>
      </c>
      <c r="L642">
        <f>INDEX(products!$A$1:$G$49,MATCH(orders!$D642,products!$A$1:$A$49,0),MATCH($L$1,products!$A$1:$G$1,0))</f>
        <v>27.484999999999996</v>
      </c>
      <c r="M642">
        <f t="shared" si="28"/>
        <v>137.42499999999998</v>
      </c>
      <c r="N642" t="str">
        <f t="shared" si="29"/>
        <v>Robusta</v>
      </c>
      <c r="O642" t="str">
        <f t="shared" si="30"/>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_xlfn.XLOOKUP(C643,customers!$A$2:$A$1001,customers!$B$2:$B$1001,0)</f>
        <v>Yardley Basill</v>
      </c>
      <c r="G643" s="2" t="str">
        <f>_xlfn.XLOOKUP(C643,customers!$A$2:$A$1001,customers!$C$2:$C$1001,0)</f>
        <v>ybasillht@theguardian.com</v>
      </c>
      <c r="H643" s="2" t="str">
        <f>_xlfn.XLOOKUP(orders!C643,customers!$A$2:$A$1001,customers!$G$2:$G$1001,0)</f>
        <v>United States</v>
      </c>
      <c r="I643" t="str">
        <f>INDEX(products!$A$1:$G$49,MATCH(orders!$D643,products!$A$1:$A$49,0),MATCH($I$1,products!$A$1:$G$1,0))</f>
        <v>Rob</v>
      </c>
      <c r="J643" t="str">
        <f>INDEX(products!$A$1:$G$49,MATCH(orders!$D643,products!$A$1:$A$49,0),MATCH($J$1,products!$A$1:$G$1,0))</f>
        <v>L</v>
      </c>
      <c r="K643" s="1">
        <f>INDEX(products!$A$1:$G$49,MATCH(orders!$D643,products!$A$1:$A$49,0),MATCH($K$1,products!$A$1:$G$1,0))</f>
        <v>1</v>
      </c>
      <c r="L643">
        <f>INDEX(products!$A$1:$G$49,MATCH(orders!$D643,products!$A$1:$A$49,0),MATCH($L$1,products!$A$1:$G$1,0))</f>
        <v>11.95</v>
      </c>
      <c r="M643">
        <f t="shared" ref="M643:M706" si="31">L643*E643</f>
        <v>35.849999999999994</v>
      </c>
      <c r="N643" t="str">
        <f t="shared" ref="N643:N706" si="32">IF(I643="Rob","Robusta",IF(I643="Exc","Excelsa",IF(I643="Ara","Arabica",IF(I643="Lib","Liberica",""))))</f>
        <v>Robusta</v>
      </c>
      <c r="O643" t="str">
        <f t="shared" ref="O643:O706" si="33">IF(J643="M", "Medium", IF(J643="L","Light", IF(J643="D", "Dark","")))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_xlfn.XLOOKUP(C644,customers!$A$2:$A$1001,customers!$B$2:$B$1001,0)</f>
        <v>Maggy Baistow</v>
      </c>
      <c r="G644" s="2" t="str">
        <f>_xlfn.XLOOKUP(C644,customers!$A$2:$A$1001,customers!$C$2:$C$1001,0)</f>
        <v>mbaistowhu@i2i.jp</v>
      </c>
      <c r="H644" s="2" t="str">
        <f>_xlfn.XLOOKUP(orders!C644,customers!$A$2:$A$1001,customers!$G$2:$G$1001,0)</f>
        <v>United Kingdom</v>
      </c>
      <c r="I644" t="str">
        <f>INDEX(products!$A$1:$G$49,MATCH(orders!$D644,products!$A$1:$A$49,0),MATCH($I$1,products!$A$1:$G$1,0))</f>
        <v>Exc</v>
      </c>
      <c r="J644" t="str">
        <f>INDEX(products!$A$1:$G$49,MATCH(orders!$D644,products!$A$1:$A$49,0),MATCH($J$1,products!$A$1:$G$1,0))</f>
        <v>M</v>
      </c>
      <c r="K644" s="1">
        <f>INDEX(products!$A$1:$G$49,MATCH(orders!$D644,products!$A$1:$A$49,0),MATCH($K$1,products!$A$1:$G$1,0))</f>
        <v>0.2</v>
      </c>
      <c r="L644">
        <f>INDEX(products!$A$1:$G$49,MATCH(orders!$D644,products!$A$1:$A$49,0),MATCH($L$1,products!$A$1:$G$1,0))</f>
        <v>4.125</v>
      </c>
      <c r="M644">
        <f t="shared" si="31"/>
        <v>8.25</v>
      </c>
      <c r="N644" t="str">
        <f t="shared" si="32"/>
        <v>Excelsa</v>
      </c>
      <c r="O644" t="str">
        <f t="shared" si="33"/>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_xlfn.XLOOKUP(C645,customers!$A$2:$A$1001,customers!$B$2:$B$1001,0)</f>
        <v>Courtney Pallant</v>
      </c>
      <c r="G645" s="2" t="str">
        <f>_xlfn.XLOOKUP(C645,customers!$A$2:$A$1001,customers!$C$2:$C$1001,0)</f>
        <v>cpallanthv@typepad.com</v>
      </c>
      <c r="H645" s="2" t="str">
        <f>_xlfn.XLOOKUP(orders!C645,customers!$A$2:$A$1001,customers!$G$2:$G$1001,0)</f>
        <v>United States</v>
      </c>
      <c r="I645" t="str">
        <f>INDEX(products!$A$1:$G$49,MATCH(orders!$D645,products!$A$1:$A$49,0),MATCH($I$1,products!$A$1:$G$1,0))</f>
        <v>Exc</v>
      </c>
      <c r="J645" t="str">
        <f>INDEX(products!$A$1:$G$49,MATCH(orders!$D645,products!$A$1:$A$49,0),MATCH($J$1,products!$A$1:$G$1,0))</f>
        <v>L</v>
      </c>
      <c r="K645" s="1">
        <f>INDEX(products!$A$1:$G$49,MATCH(orders!$D645,products!$A$1:$A$49,0),MATCH($K$1,products!$A$1:$G$1,0))</f>
        <v>2.5</v>
      </c>
      <c r="L645">
        <f>INDEX(products!$A$1:$G$49,MATCH(orders!$D645,products!$A$1:$A$49,0),MATCH($L$1,products!$A$1:$G$1,0))</f>
        <v>34.154999999999994</v>
      </c>
      <c r="M645">
        <f t="shared" si="31"/>
        <v>102.46499999999997</v>
      </c>
      <c r="N645" t="str">
        <f t="shared" si="32"/>
        <v>Excelsa</v>
      </c>
      <c r="O645" t="str">
        <f t="shared" si="33"/>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_xlfn.XLOOKUP(C646,customers!$A$2:$A$1001,customers!$B$2:$B$1001,0)</f>
        <v>Marne Mingey</v>
      </c>
      <c r="G646" s="2">
        <f>_xlfn.XLOOKUP(C646,customers!$A$2:$A$1001,customers!$C$2:$C$1001,0)</f>
        <v>0</v>
      </c>
      <c r="H646" s="2" t="str">
        <f>_xlfn.XLOOKUP(orders!C646,customers!$A$2:$A$1001,customers!$G$2:$G$1001,0)</f>
        <v>United States</v>
      </c>
      <c r="I646" t="str">
        <f>INDEX(products!$A$1:$G$49,MATCH(orders!$D646,products!$A$1:$A$49,0),MATCH($I$1,products!$A$1:$G$1,0))</f>
        <v>Rob</v>
      </c>
      <c r="J646" t="str">
        <f>INDEX(products!$A$1:$G$49,MATCH(orders!$D646,products!$A$1:$A$49,0),MATCH($J$1,products!$A$1:$G$1,0))</f>
        <v>D</v>
      </c>
      <c r="K646" s="1">
        <f>INDEX(products!$A$1:$G$49,MATCH(orders!$D646,products!$A$1:$A$49,0),MATCH($K$1,products!$A$1:$G$1,0))</f>
        <v>2.5</v>
      </c>
      <c r="L646">
        <f>INDEX(products!$A$1:$G$49,MATCH(orders!$D646,products!$A$1:$A$49,0),MATCH($L$1,products!$A$1:$G$1,0))</f>
        <v>20.584999999999997</v>
      </c>
      <c r="M646">
        <f t="shared" si="31"/>
        <v>41.169999999999995</v>
      </c>
      <c r="N646" t="str">
        <f t="shared" si="32"/>
        <v>Robusta</v>
      </c>
      <c r="O646" t="str">
        <f t="shared" si="33"/>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_xlfn.XLOOKUP(C647,customers!$A$2:$A$1001,customers!$B$2:$B$1001,0)</f>
        <v>Denny O' Ronan</v>
      </c>
      <c r="G647" s="2" t="str">
        <f>_xlfn.XLOOKUP(C647,customers!$A$2:$A$1001,customers!$C$2:$C$1001,0)</f>
        <v>dohx@redcross.org</v>
      </c>
      <c r="H647" s="2" t="str">
        <f>_xlfn.XLOOKUP(orders!C647,customers!$A$2:$A$1001,customers!$G$2:$G$1001,0)</f>
        <v>United States</v>
      </c>
      <c r="I647" t="str">
        <f>INDEX(products!$A$1:$G$49,MATCH(orders!$D647,products!$A$1:$A$49,0),MATCH($I$1,products!$A$1:$G$1,0))</f>
        <v>Ara</v>
      </c>
      <c r="J647" t="str">
        <f>INDEX(products!$A$1:$G$49,MATCH(orders!$D647,products!$A$1:$A$49,0),MATCH($J$1,products!$A$1:$G$1,0))</f>
        <v>D</v>
      </c>
      <c r="K647" s="1">
        <f>INDEX(products!$A$1:$G$49,MATCH(orders!$D647,products!$A$1:$A$49,0),MATCH($K$1,products!$A$1:$G$1,0))</f>
        <v>2.5</v>
      </c>
      <c r="L647">
        <f>INDEX(products!$A$1:$G$49,MATCH(orders!$D647,products!$A$1:$A$49,0),MATCH($L$1,products!$A$1:$G$1,0))</f>
        <v>22.884999999999998</v>
      </c>
      <c r="M647">
        <f t="shared" si="31"/>
        <v>68.655000000000001</v>
      </c>
      <c r="N647" t="str">
        <f t="shared" si="32"/>
        <v>Arabica</v>
      </c>
      <c r="O647" t="str">
        <f t="shared" si="33"/>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_xlfn.XLOOKUP(C648,customers!$A$2:$A$1001,customers!$B$2:$B$1001,0)</f>
        <v>Dottie Rallin</v>
      </c>
      <c r="G648" s="2" t="str">
        <f>_xlfn.XLOOKUP(C648,customers!$A$2:$A$1001,customers!$C$2:$C$1001,0)</f>
        <v>drallinhy@howstuffworks.com</v>
      </c>
      <c r="H648" s="2" t="str">
        <f>_xlfn.XLOOKUP(orders!C648,customers!$A$2:$A$1001,customers!$G$2:$G$1001,0)</f>
        <v>United States</v>
      </c>
      <c r="I648" t="str">
        <f>INDEX(products!$A$1:$G$49,MATCH(orders!$D648,products!$A$1:$A$49,0),MATCH($I$1,products!$A$1:$G$1,0))</f>
        <v>Ara</v>
      </c>
      <c r="J648" t="str">
        <f>INDEX(products!$A$1:$G$49,MATCH(orders!$D648,products!$A$1:$A$49,0),MATCH($J$1,products!$A$1:$G$1,0))</f>
        <v>D</v>
      </c>
      <c r="K648" s="1">
        <f>INDEX(products!$A$1:$G$49,MATCH(orders!$D648,products!$A$1:$A$49,0),MATCH($K$1,products!$A$1:$G$1,0))</f>
        <v>1</v>
      </c>
      <c r="L648">
        <f>INDEX(products!$A$1:$G$49,MATCH(orders!$D648,products!$A$1:$A$49,0),MATCH($L$1,products!$A$1:$G$1,0))</f>
        <v>9.9499999999999993</v>
      </c>
      <c r="M648">
        <f t="shared" si="31"/>
        <v>9.9499999999999993</v>
      </c>
      <c r="N648" t="str">
        <f t="shared" si="32"/>
        <v>Arabica</v>
      </c>
      <c r="O648" t="str">
        <f t="shared" si="33"/>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_xlfn.XLOOKUP(C649,customers!$A$2:$A$1001,customers!$B$2:$B$1001,0)</f>
        <v>Ardith Chill</v>
      </c>
      <c r="G649" s="2" t="str">
        <f>_xlfn.XLOOKUP(C649,customers!$A$2:$A$1001,customers!$C$2:$C$1001,0)</f>
        <v>achillhz@epa.gov</v>
      </c>
      <c r="H649" s="2" t="str">
        <f>_xlfn.XLOOKUP(orders!C649,customers!$A$2:$A$1001,customers!$G$2:$G$1001,0)</f>
        <v>United Kingdom</v>
      </c>
      <c r="I649" t="str">
        <f>INDEX(products!$A$1:$G$49,MATCH(orders!$D649,products!$A$1:$A$49,0),MATCH($I$1,products!$A$1:$G$1,0))</f>
        <v>Lib</v>
      </c>
      <c r="J649" t="str">
        <f>INDEX(products!$A$1:$G$49,MATCH(orders!$D649,products!$A$1:$A$49,0),MATCH($J$1,products!$A$1:$G$1,0))</f>
        <v>L</v>
      </c>
      <c r="K649" s="1">
        <f>INDEX(products!$A$1:$G$49,MATCH(orders!$D649,products!$A$1:$A$49,0),MATCH($K$1,products!$A$1:$G$1,0))</f>
        <v>0.5</v>
      </c>
      <c r="L649">
        <f>INDEX(products!$A$1:$G$49,MATCH(orders!$D649,products!$A$1:$A$49,0),MATCH($L$1,products!$A$1:$G$1,0))</f>
        <v>9.51</v>
      </c>
      <c r="M649">
        <f t="shared" si="31"/>
        <v>28.53</v>
      </c>
      <c r="N649" t="str">
        <f t="shared" si="32"/>
        <v>Liberica</v>
      </c>
      <c r="O649" t="str">
        <f t="shared" si="33"/>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_xlfn.XLOOKUP(C650,customers!$A$2:$A$1001,customers!$B$2:$B$1001,0)</f>
        <v>Tuckie Mathonnet</v>
      </c>
      <c r="G650" s="2" t="str">
        <f>_xlfn.XLOOKUP(C650,customers!$A$2:$A$1001,customers!$C$2:$C$1001,0)</f>
        <v>tmathonneti0@google.co.jp</v>
      </c>
      <c r="H650" s="2" t="str">
        <f>_xlfn.XLOOKUP(orders!C650,customers!$A$2:$A$1001,customers!$G$2:$G$1001,0)</f>
        <v>United States</v>
      </c>
      <c r="I650" t="str">
        <f>INDEX(products!$A$1:$G$49,MATCH(orders!$D650,products!$A$1:$A$49,0),MATCH($I$1,products!$A$1:$G$1,0))</f>
        <v>Rob</v>
      </c>
      <c r="J650" t="str">
        <f>INDEX(products!$A$1:$G$49,MATCH(orders!$D650,products!$A$1:$A$49,0),MATCH($J$1,products!$A$1:$G$1,0))</f>
        <v>D</v>
      </c>
      <c r="K650" s="1">
        <f>INDEX(products!$A$1:$G$49,MATCH(orders!$D650,products!$A$1:$A$49,0),MATCH($K$1,products!$A$1:$G$1,0))</f>
        <v>0.2</v>
      </c>
      <c r="L650">
        <f>INDEX(products!$A$1:$G$49,MATCH(orders!$D650,products!$A$1:$A$49,0),MATCH($L$1,products!$A$1:$G$1,0))</f>
        <v>2.6849999999999996</v>
      </c>
      <c r="M650">
        <f t="shared" si="31"/>
        <v>16.11</v>
      </c>
      <c r="N650" t="str">
        <f t="shared" si="32"/>
        <v>Robusta</v>
      </c>
      <c r="O650" t="str">
        <f t="shared" si="33"/>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_xlfn.XLOOKUP(C651,customers!$A$2:$A$1001,customers!$B$2:$B$1001,0)</f>
        <v>Charmane Denys</v>
      </c>
      <c r="G651" s="2" t="str">
        <f>_xlfn.XLOOKUP(C651,customers!$A$2:$A$1001,customers!$C$2:$C$1001,0)</f>
        <v>cdenysi1@is.gd</v>
      </c>
      <c r="H651" s="2" t="str">
        <f>_xlfn.XLOOKUP(orders!C651,customers!$A$2:$A$1001,customers!$G$2:$G$1001,0)</f>
        <v>United Kingdom</v>
      </c>
      <c r="I651" t="str">
        <f>INDEX(products!$A$1:$G$49,MATCH(orders!$D651,products!$A$1:$A$49,0),MATCH($I$1,products!$A$1:$G$1,0))</f>
        <v>Lib</v>
      </c>
      <c r="J651" t="str">
        <f>INDEX(products!$A$1:$G$49,MATCH(orders!$D651,products!$A$1:$A$49,0),MATCH($J$1,products!$A$1:$G$1,0))</f>
        <v>L</v>
      </c>
      <c r="K651" s="1">
        <f>INDEX(products!$A$1:$G$49,MATCH(orders!$D651,products!$A$1:$A$49,0),MATCH($K$1,products!$A$1:$G$1,0))</f>
        <v>1</v>
      </c>
      <c r="L651">
        <f>INDEX(products!$A$1:$G$49,MATCH(orders!$D651,products!$A$1:$A$49,0),MATCH($L$1,products!$A$1:$G$1,0))</f>
        <v>15.85</v>
      </c>
      <c r="M651">
        <f t="shared" si="31"/>
        <v>95.1</v>
      </c>
      <c r="N651" t="str">
        <f t="shared" si="32"/>
        <v>Liberica</v>
      </c>
      <c r="O651" t="str">
        <f t="shared" si="33"/>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_xlfn.XLOOKUP(C652,customers!$A$2:$A$1001,customers!$B$2:$B$1001,0)</f>
        <v>Cecily Stebbings</v>
      </c>
      <c r="G652" s="2" t="str">
        <f>_xlfn.XLOOKUP(C652,customers!$A$2:$A$1001,customers!$C$2:$C$1001,0)</f>
        <v>cstebbingsi2@drupal.org</v>
      </c>
      <c r="H652" s="2" t="str">
        <f>_xlfn.XLOOKUP(orders!C652,customers!$A$2:$A$1001,customers!$G$2:$G$1001,0)</f>
        <v>United States</v>
      </c>
      <c r="I652" t="str">
        <f>INDEX(products!$A$1:$G$49,MATCH(orders!$D652,products!$A$1:$A$49,0),MATCH($I$1,products!$A$1:$G$1,0))</f>
        <v>Rob</v>
      </c>
      <c r="J652" t="str">
        <f>INDEX(products!$A$1:$G$49,MATCH(orders!$D652,products!$A$1:$A$49,0),MATCH($J$1,products!$A$1:$G$1,0))</f>
        <v>D</v>
      </c>
      <c r="K652" s="1">
        <f>INDEX(products!$A$1:$G$49,MATCH(orders!$D652,products!$A$1:$A$49,0),MATCH($K$1,products!$A$1:$G$1,0))</f>
        <v>0.5</v>
      </c>
      <c r="L652">
        <f>INDEX(products!$A$1:$G$49,MATCH(orders!$D652,products!$A$1:$A$49,0),MATCH($L$1,products!$A$1:$G$1,0))</f>
        <v>5.3699999999999992</v>
      </c>
      <c r="M652">
        <f t="shared" si="31"/>
        <v>5.3699999999999992</v>
      </c>
      <c r="N652" t="str">
        <f t="shared" si="32"/>
        <v>Robusta</v>
      </c>
      <c r="O652" t="str">
        <f t="shared" si="33"/>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_xlfn.XLOOKUP(C653,customers!$A$2:$A$1001,customers!$B$2:$B$1001,0)</f>
        <v>Giana Tonnesen</v>
      </c>
      <c r="G653" s="2">
        <f>_xlfn.XLOOKUP(C653,customers!$A$2:$A$1001,customers!$C$2:$C$1001,0)</f>
        <v>0</v>
      </c>
      <c r="H653" s="2" t="str">
        <f>_xlfn.XLOOKUP(orders!C653,customers!$A$2:$A$1001,customers!$G$2:$G$1001,0)</f>
        <v>United States</v>
      </c>
      <c r="I653" t="str">
        <f>INDEX(products!$A$1:$G$49,MATCH(orders!$D653,products!$A$1:$A$49,0),MATCH($I$1,products!$A$1:$G$1,0))</f>
        <v>Rob</v>
      </c>
      <c r="J653" t="str">
        <f>INDEX(products!$A$1:$G$49,MATCH(orders!$D653,products!$A$1:$A$49,0),MATCH($J$1,products!$A$1:$G$1,0))</f>
        <v>L</v>
      </c>
      <c r="K653" s="1">
        <f>INDEX(products!$A$1:$G$49,MATCH(orders!$D653,products!$A$1:$A$49,0),MATCH($K$1,products!$A$1:$G$1,0))</f>
        <v>1</v>
      </c>
      <c r="L653">
        <f>INDEX(products!$A$1:$G$49,MATCH(orders!$D653,products!$A$1:$A$49,0),MATCH($L$1,products!$A$1:$G$1,0))</f>
        <v>11.95</v>
      </c>
      <c r="M653">
        <f t="shared" si="31"/>
        <v>47.8</v>
      </c>
      <c r="N653" t="str">
        <f t="shared" si="32"/>
        <v>Robusta</v>
      </c>
      <c r="O653" t="str">
        <f t="shared" si="33"/>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_xlfn.XLOOKUP(C654,customers!$A$2:$A$1001,customers!$B$2:$B$1001,0)</f>
        <v>Rhetta Zywicki</v>
      </c>
      <c r="G654" s="2" t="str">
        <f>_xlfn.XLOOKUP(C654,customers!$A$2:$A$1001,customers!$C$2:$C$1001,0)</f>
        <v>rzywickii4@ifeng.com</v>
      </c>
      <c r="H654" s="2" t="str">
        <f>_xlfn.XLOOKUP(orders!C654,customers!$A$2:$A$1001,customers!$G$2:$G$1001,0)</f>
        <v>Ireland</v>
      </c>
      <c r="I654" t="str">
        <f>INDEX(products!$A$1:$G$49,MATCH(orders!$D654,products!$A$1:$A$49,0),MATCH($I$1,products!$A$1:$G$1,0))</f>
        <v>Lib</v>
      </c>
      <c r="J654" t="str">
        <f>INDEX(products!$A$1:$G$49,MATCH(orders!$D654,products!$A$1:$A$49,0),MATCH($J$1,products!$A$1:$G$1,0))</f>
        <v>L</v>
      </c>
      <c r="K654" s="1">
        <f>INDEX(products!$A$1:$G$49,MATCH(orders!$D654,products!$A$1:$A$49,0),MATCH($K$1,products!$A$1:$G$1,0))</f>
        <v>1</v>
      </c>
      <c r="L654">
        <f>INDEX(products!$A$1:$G$49,MATCH(orders!$D654,products!$A$1:$A$49,0),MATCH($L$1,products!$A$1:$G$1,0))</f>
        <v>15.85</v>
      </c>
      <c r="M654">
        <f t="shared" si="31"/>
        <v>63.4</v>
      </c>
      <c r="N654" t="str">
        <f t="shared" si="32"/>
        <v>Liberica</v>
      </c>
      <c r="O654" t="str">
        <f t="shared" si="33"/>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_xlfn.XLOOKUP(C655,customers!$A$2:$A$1001,customers!$B$2:$B$1001,0)</f>
        <v>Almeria Burgett</v>
      </c>
      <c r="G655" s="2" t="str">
        <f>_xlfn.XLOOKUP(C655,customers!$A$2:$A$1001,customers!$C$2:$C$1001,0)</f>
        <v>aburgetti5@moonfruit.com</v>
      </c>
      <c r="H655" s="2" t="str">
        <f>_xlfn.XLOOKUP(orders!C655,customers!$A$2:$A$1001,customers!$G$2:$G$1001,0)</f>
        <v>United States</v>
      </c>
      <c r="I655" t="str">
        <f>INDEX(products!$A$1:$G$49,MATCH(orders!$D655,products!$A$1:$A$49,0),MATCH($I$1,products!$A$1:$G$1,0))</f>
        <v>Ara</v>
      </c>
      <c r="J655" t="str">
        <f>INDEX(products!$A$1:$G$49,MATCH(orders!$D655,products!$A$1:$A$49,0),MATCH($J$1,products!$A$1:$G$1,0))</f>
        <v>M</v>
      </c>
      <c r="K655" s="1">
        <f>INDEX(products!$A$1:$G$49,MATCH(orders!$D655,products!$A$1:$A$49,0),MATCH($K$1,products!$A$1:$G$1,0))</f>
        <v>2.5</v>
      </c>
      <c r="L655">
        <f>INDEX(products!$A$1:$G$49,MATCH(orders!$D655,products!$A$1:$A$49,0),MATCH($L$1,products!$A$1:$G$1,0))</f>
        <v>25.874999999999996</v>
      </c>
      <c r="M655">
        <f t="shared" si="31"/>
        <v>103.49999999999999</v>
      </c>
      <c r="N655" t="str">
        <f t="shared" si="32"/>
        <v>Arabica</v>
      </c>
      <c r="O655" t="str">
        <f t="shared" si="33"/>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_xlfn.XLOOKUP(C656,customers!$A$2:$A$1001,customers!$B$2:$B$1001,0)</f>
        <v>Marvin Malloy</v>
      </c>
      <c r="G656" s="2" t="str">
        <f>_xlfn.XLOOKUP(C656,customers!$A$2:$A$1001,customers!$C$2:$C$1001,0)</f>
        <v>mmalloyi6@seattletimes.com</v>
      </c>
      <c r="H656" s="2" t="str">
        <f>_xlfn.XLOOKUP(orders!C656,customers!$A$2:$A$1001,customers!$G$2:$G$1001,0)</f>
        <v>United States</v>
      </c>
      <c r="I656" t="str">
        <f>INDEX(products!$A$1:$G$49,MATCH(orders!$D656,products!$A$1:$A$49,0),MATCH($I$1,products!$A$1:$G$1,0))</f>
        <v>Ara</v>
      </c>
      <c r="J656" t="str">
        <f>INDEX(products!$A$1:$G$49,MATCH(orders!$D656,products!$A$1:$A$49,0),MATCH($J$1,products!$A$1:$G$1,0))</f>
        <v>D</v>
      </c>
      <c r="K656" s="1">
        <f>INDEX(products!$A$1:$G$49,MATCH(orders!$D656,products!$A$1:$A$49,0),MATCH($K$1,products!$A$1:$G$1,0))</f>
        <v>2.5</v>
      </c>
      <c r="L656">
        <f>INDEX(products!$A$1:$G$49,MATCH(orders!$D656,products!$A$1:$A$49,0),MATCH($L$1,products!$A$1:$G$1,0))</f>
        <v>22.884999999999998</v>
      </c>
      <c r="M656">
        <f t="shared" si="31"/>
        <v>68.655000000000001</v>
      </c>
      <c r="N656" t="str">
        <f t="shared" si="32"/>
        <v>Arabica</v>
      </c>
      <c r="O656" t="str">
        <f t="shared" si="33"/>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_xlfn.XLOOKUP(C657,customers!$A$2:$A$1001,customers!$B$2:$B$1001,0)</f>
        <v>Maxim McParland</v>
      </c>
      <c r="G657" s="2" t="str">
        <f>_xlfn.XLOOKUP(C657,customers!$A$2:$A$1001,customers!$C$2:$C$1001,0)</f>
        <v>mmcparlandi7@w3.org</v>
      </c>
      <c r="H657" s="2" t="str">
        <f>_xlfn.XLOOKUP(orders!C657,customers!$A$2:$A$1001,customers!$G$2:$G$1001,0)</f>
        <v>United States</v>
      </c>
      <c r="I657" t="str">
        <f>INDEX(products!$A$1:$G$49,MATCH(orders!$D657,products!$A$1:$A$49,0),MATCH($I$1,products!$A$1:$G$1,0))</f>
        <v>Rob</v>
      </c>
      <c r="J657" t="str">
        <f>INDEX(products!$A$1:$G$49,MATCH(orders!$D657,products!$A$1:$A$49,0),MATCH($J$1,products!$A$1:$G$1,0))</f>
        <v>M</v>
      </c>
      <c r="K657" s="1">
        <f>INDEX(products!$A$1:$G$49,MATCH(orders!$D657,products!$A$1:$A$49,0),MATCH($K$1,products!$A$1:$G$1,0))</f>
        <v>2.5</v>
      </c>
      <c r="L657">
        <f>INDEX(products!$A$1:$G$49,MATCH(orders!$D657,products!$A$1:$A$49,0),MATCH($L$1,products!$A$1:$G$1,0))</f>
        <v>22.884999999999998</v>
      </c>
      <c r="M657">
        <f t="shared" si="31"/>
        <v>45.769999999999996</v>
      </c>
      <c r="N657" t="str">
        <f t="shared" si="32"/>
        <v>Robusta</v>
      </c>
      <c r="O657" t="str">
        <f t="shared" si="33"/>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_xlfn.XLOOKUP(C658,customers!$A$2:$A$1001,customers!$B$2:$B$1001,0)</f>
        <v>Sylas Jennaroy</v>
      </c>
      <c r="G658" s="2" t="str">
        <f>_xlfn.XLOOKUP(C658,customers!$A$2:$A$1001,customers!$C$2:$C$1001,0)</f>
        <v>sjennaroyi8@purevolume.com</v>
      </c>
      <c r="H658" s="2" t="str">
        <f>_xlfn.XLOOKUP(orders!C658,customers!$A$2:$A$1001,customers!$G$2:$G$1001,0)</f>
        <v>United States</v>
      </c>
      <c r="I658" t="str">
        <f>INDEX(products!$A$1:$G$49,MATCH(orders!$D658,products!$A$1:$A$49,0),MATCH($I$1,products!$A$1:$G$1,0))</f>
        <v>Lib</v>
      </c>
      <c r="J658" t="str">
        <f>INDEX(products!$A$1:$G$49,MATCH(orders!$D658,products!$A$1:$A$49,0),MATCH($J$1,products!$A$1:$G$1,0))</f>
        <v>D</v>
      </c>
      <c r="K658" s="1">
        <f>INDEX(products!$A$1:$G$49,MATCH(orders!$D658,products!$A$1:$A$49,0),MATCH($K$1,products!$A$1:$G$1,0))</f>
        <v>1</v>
      </c>
      <c r="L658">
        <f>INDEX(products!$A$1:$G$49,MATCH(orders!$D658,products!$A$1:$A$49,0),MATCH($L$1,products!$A$1:$G$1,0))</f>
        <v>12.95</v>
      </c>
      <c r="M658">
        <f t="shared" si="31"/>
        <v>51.8</v>
      </c>
      <c r="N658" t="str">
        <f t="shared" si="32"/>
        <v>Liberica</v>
      </c>
      <c r="O658" t="str">
        <f t="shared" si="33"/>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_xlfn.XLOOKUP(C659,customers!$A$2:$A$1001,customers!$B$2:$B$1001,0)</f>
        <v>Wren Place</v>
      </c>
      <c r="G659" s="2" t="str">
        <f>_xlfn.XLOOKUP(C659,customers!$A$2:$A$1001,customers!$C$2:$C$1001,0)</f>
        <v>wplacei9@wsj.com</v>
      </c>
      <c r="H659" s="2" t="str">
        <f>_xlfn.XLOOKUP(orders!C659,customers!$A$2:$A$1001,customers!$G$2:$G$1001,0)</f>
        <v>United States</v>
      </c>
      <c r="I659" t="str">
        <f>INDEX(products!$A$1:$G$49,MATCH(orders!$D659,products!$A$1:$A$49,0),MATCH($I$1,products!$A$1:$G$1,0))</f>
        <v>Ara</v>
      </c>
      <c r="J659" t="str">
        <f>INDEX(products!$A$1:$G$49,MATCH(orders!$D659,products!$A$1:$A$49,0),MATCH($J$1,products!$A$1:$G$1,0))</f>
        <v>M</v>
      </c>
      <c r="K659" s="1">
        <f>INDEX(products!$A$1:$G$49,MATCH(orders!$D659,products!$A$1:$A$49,0),MATCH($K$1,products!$A$1:$G$1,0))</f>
        <v>0.5</v>
      </c>
      <c r="L659">
        <f>INDEX(products!$A$1:$G$49,MATCH(orders!$D659,products!$A$1:$A$49,0),MATCH($L$1,products!$A$1:$G$1,0))</f>
        <v>6.75</v>
      </c>
      <c r="M659">
        <f t="shared" si="31"/>
        <v>13.5</v>
      </c>
      <c r="N659" t="str">
        <f t="shared" si="32"/>
        <v>Arabica</v>
      </c>
      <c r="O659" t="str">
        <f t="shared" si="33"/>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_xlfn.XLOOKUP(C660,customers!$A$2:$A$1001,customers!$B$2:$B$1001,0)</f>
        <v>Janella Millett</v>
      </c>
      <c r="G660" s="2" t="str">
        <f>_xlfn.XLOOKUP(C660,customers!$A$2:$A$1001,customers!$C$2:$C$1001,0)</f>
        <v>jmillettik@addtoany.com</v>
      </c>
      <c r="H660" s="2" t="str">
        <f>_xlfn.XLOOKUP(orders!C660,customers!$A$2:$A$1001,customers!$G$2:$G$1001,0)</f>
        <v>United States</v>
      </c>
      <c r="I660" t="str">
        <f>INDEX(products!$A$1:$G$49,MATCH(orders!$D660,products!$A$1:$A$49,0),MATCH($I$1,products!$A$1:$G$1,0))</f>
        <v>Exc</v>
      </c>
      <c r="J660" t="str">
        <f>INDEX(products!$A$1:$G$49,MATCH(orders!$D660,products!$A$1:$A$49,0),MATCH($J$1,products!$A$1:$G$1,0))</f>
        <v>M</v>
      </c>
      <c r="K660" s="1">
        <f>INDEX(products!$A$1:$G$49,MATCH(orders!$D660,products!$A$1:$A$49,0),MATCH($K$1,products!$A$1:$G$1,0))</f>
        <v>0.5</v>
      </c>
      <c r="L660">
        <f>INDEX(products!$A$1:$G$49,MATCH(orders!$D660,products!$A$1:$A$49,0),MATCH($L$1,products!$A$1:$G$1,0))</f>
        <v>8.25</v>
      </c>
      <c r="M660">
        <f t="shared" si="31"/>
        <v>24.75</v>
      </c>
      <c r="N660" t="str">
        <f t="shared" si="32"/>
        <v>Excelsa</v>
      </c>
      <c r="O660" t="str">
        <f t="shared" si="33"/>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_xlfn.XLOOKUP(C661,customers!$A$2:$A$1001,customers!$B$2:$B$1001,0)</f>
        <v>Dollie Gadsden</v>
      </c>
      <c r="G661" s="2" t="str">
        <f>_xlfn.XLOOKUP(C661,customers!$A$2:$A$1001,customers!$C$2:$C$1001,0)</f>
        <v>dgadsdenib@google.com.hk</v>
      </c>
      <c r="H661" s="2" t="str">
        <f>_xlfn.XLOOKUP(orders!C661,customers!$A$2:$A$1001,customers!$G$2:$G$1001,0)</f>
        <v>Ireland</v>
      </c>
      <c r="I661" t="str">
        <f>INDEX(products!$A$1:$G$49,MATCH(orders!$D661,products!$A$1:$A$49,0),MATCH($I$1,products!$A$1:$G$1,0))</f>
        <v>Ara</v>
      </c>
      <c r="J661" t="str">
        <f>INDEX(products!$A$1:$G$49,MATCH(orders!$D661,products!$A$1:$A$49,0),MATCH($J$1,products!$A$1:$G$1,0))</f>
        <v>D</v>
      </c>
      <c r="K661" s="1">
        <f>INDEX(products!$A$1:$G$49,MATCH(orders!$D661,products!$A$1:$A$49,0),MATCH($K$1,products!$A$1:$G$1,0))</f>
        <v>2.5</v>
      </c>
      <c r="L661">
        <f>INDEX(products!$A$1:$G$49,MATCH(orders!$D661,products!$A$1:$A$49,0),MATCH($L$1,products!$A$1:$G$1,0))</f>
        <v>22.884999999999998</v>
      </c>
      <c r="M661">
        <f t="shared" si="31"/>
        <v>45.769999999999996</v>
      </c>
      <c r="N661" t="str">
        <f t="shared" si="32"/>
        <v>Arabica</v>
      </c>
      <c r="O661" t="str">
        <f t="shared" si="33"/>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_xlfn.XLOOKUP(C662,customers!$A$2:$A$1001,customers!$B$2:$B$1001,0)</f>
        <v>Val Wakelin</v>
      </c>
      <c r="G662" s="2" t="str">
        <f>_xlfn.XLOOKUP(C662,customers!$A$2:$A$1001,customers!$C$2:$C$1001,0)</f>
        <v>vwakelinic@unesco.org</v>
      </c>
      <c r="H662" s="2" t="str">
        <f>_xlfn.XLOOKUP(orders!C662,customers!$A$2:$A$1001,customers!$G$2:$G$1001,0)</f>
        <v>United States</v>
      </c>
      <c r="I662" t="str">
        <f>INDEX(products!$A$1:$G$49,MATCH(orders!$D662,products!$A$1:$A$49,0),MATCH($I$1,products!$A$1:$G$1,0))</f>
        <v>Exc</v>
      </c>
      <c r="J662" t="str">
        <f>INDEX(products!$A$1:$G$49,MATCH(orders!$D662,products!$A$1:$A$49,0),MATCH($J$1,products!$A$1:$G$1,0))</f>
        <v>L</v>
      </c>
      <c r="K662" s="1">
        <f>INDEX(products!$A$1:$G$49,MATCH(orders!$D662,products!$A$1:$A$49,0),MATCH($K$1,products!$A$1:$G$1,0))</f>
        <v>0.5</v>
      </c>
      <c r="L662">
        <f>INDEX(products!$A$1:$G$49,MATCH(orders!$D662,products!$A$1:$A$49,0),MATCH($L$1,products!$A$1:$G$1,0))</f>
        <v>8.91</v>
      </c>
      <c r="M662">
        <f t="shared" si="31"/>
        <v>53.46</v>
      </c>
      <c r="N662" t="str">
        <f t="shared" si="32"/>
        <v>Excelsa</v>
      </c>
      <c r="O662" t="str">
        <f t="shared" si="33"/>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_xlfn.XLOOKUP(C663,customers!$A$2:$A$1001,customers!$B$2:$B$1001,0)</f>
        <v>Annie Campsall</v>
      </c>
      <c r="G663" s="2" t="str">
        <f>_xlfn.XLOOKUP(C663,customers!$A$2:$A$1001,customers!$C$2:$C$1001,0)</f>
        <v>acampsallid@zimbio.com</v>
      </c>
      <c r="H663" s="2" t="str">
        <f>_xlfn.XLOOKUP(orders!C663,customers!$A$2:$A$1001,customers!$G$2:$G$1001,0)</f>
        <v>United States</v>
      </c>
      <c r="I663" t="str">
        <f>INDEX(products!$A$1:$G$49,MATCH(orders!$D663,products!$A$1:$A$49,0),MATCH($I$1,products!$A$1:$G$1,0))</f>
        <v>Ara</v>
      </c>
      <c r="J663" t="str">
        <f>INDEX(products!$A$1:$G$49,MATCH(orders!$D663,products!$A$1:$A$49,0),MATCH($J$1,products!$A$1:$G$1,0))</f>
        <v>M</v>
      </c>
      <c r="K663" s="1">
        <f>INDEX(products!$A$1:$G$49,MATCH(orders!$D663,products!$A$1:$A$49,0),MATCH($K$1,products!$A$1:$G$1,0))</f>
        <v>0.2</v>
      </c>
      <c r="L663">
        <f>INDEX(products!$A$1:$G$49,MATCH(orders!$D663,products!$A$1:$A$49,0),MATCH($L$1,products!$A$1:$G$1,0))</f>
        <v>3.375</v>
      </c>
      <c r="M663">
        <f t="shared" si="31"/>
        <v>20.25</v>
      </c>
      <c r="N663" t="str">
        <f t="shared" si="32"/>
        <v>Arabica</v>
      </c>
      <c r="O663" t="str">
        <f t="shared" si="33"/>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_xlfn.XLOOKUP(C664,customers!$A$2:$A$1001,customers!$B$2:$B$1001,0)</f>
        <v>Shermy Moseby</v>
      </c>
      <c r="G664" s="2" t="str">
        <f>_xlfn.XLOOKUP(C664,customers!$A$2:$A$1001,customers!$C$2:$C$1001,0)</f>
        <v>smosebyie@stanford.edu</v>
      </c>
      <c r="H664" s="2" t="str">
        <f>_xlfn.XLOOKUP(orders!C664,customers!$A$2:$A$1001,customers!$G$2:$G$1001,0)</f>
        <v>United States</v>
      </c>
      <c r="I664" t="str">
        <f>INDEX(products!$A$1:$G$49,MATCH(orders!$D664,products!$A$1:$A$49,0),MATCH($I$1,products!$A$1:$G$1,0))</f>
        <v>Lib</v>
      </c>
      <c r="J664" t="str">
        <f>INDEX(products!$A$1:$G$49,MATCH(orders!$D664,products!$A$1:$A$49,0),MATCH($J$1,products!$A$1:$G$1,0))</f>
        <v>D</v>
      </c>
      <c r="K664" s="1">
        <f>INDEX(products!$A$1:$G$49,MATCH(orders!$D664,products!$A$1:$A$49,0),MATCH($K$1,products!$A$1:$G$1,0))</f>
        <v>2.5</v>
      </c>
      <c r="L664">
        <f>INDEX(products!$A$1:$G$49,MATCH(orders!$D664,products!$A$1:$A$49,0),MATCH($L$1,products!$A$1:$G$1,0))</f>
        <v>29.784999999999997</v>
      </c>
      <c r="M664">
        <f t="shared" si="31"/>
        <v>148.92499999999998</v>
      </c>
      <c r="N664" t="str">
        <f t="shared" si="32"/>
        <v>Liberica</v>
      </c>
      <c r="O664" t="str">
        <f t="shared" si="33"/>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_xlfn.XLOOKUP(C665,customers!$A$2:$A$1001,customers!$B$2:$B$1001,0)</f>
        <v>Corrie Wass</v>
      </c>
      <c r="G665" s="2" t="str">
        <f>_xlfn.XLOOKUP(C665,customers!$A$2:$A$1001,customers!$C$2:$C$1001,0)</f>
        <v>cwassif@prweb.com</v>
      </c>
      <c r="H665" s="2" t="str">
        <f>_xlfn.XLOOKUP(orders!C665,customers!$A$2:$A$1001,customers!$G$2:$G$1001,0)</f>
        <v>United States</v>
      </c>
      <c r="I665" t="str">
        <f>INDEX(products!$A$1:$G$49,MATCH(orders!$D665,products!$A$1:$A$49,0),MATCH($I$1,products!$A$1:$G$1,0))</f>
        <v>Ara</v>
      </c>
      <c r="J665" t="str">
        <f>INDEX(products!$A$1:$G$49,MATCH(orders!$D665,products!$A$1:$A$49,0),MATCH($J$1,products!$A$1:$G$1,0))</f>
        <v>M</v>
      </c>
      <c r="K665" s="1">
        <f>INDEX(products!$A$1:$G$49,MATCH(orders!$D665,products!$A$1:$A$49,0),MATCH($K$1,products!$A$1:$G$1,0))</f>
        <v>1</v>
      </c>
      <c r="L665">
        <f>INDEX(products!$A$1:$G$49,MATCH(orders!$D665,products!$A$1:$A$49,0),MATCH($L$1,products!$A$1:$G$1,0))</f>
        <v>11.25</v>
      </c>
      <c r="M665">
        <f t="shared" si="31"/>
        <v>67.5</v>
      </c>
      <c r="N665" t="str">
        <f t="shared" si="32"/>
        <v>Arabica</v>
      </c>
      <c r="O665" t="str">
        <f t="shared" si="33"/>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_xlfn.XLOOKUP(C666,customers!$A$2:$A$1001,customers!$B$2:$B$1001,0)</f>
        <v>Ira Sjostrom</v>
      </c>
      <c r="G666" s="2" t="str">
        <f>_xlfn.XLOOKUP(C666,customers!$A$2:$A$1001,customers!$C$2:$C$1001,0)</f>
        <v>isjostromig@pbs.org</v>
      </c>
      <c r="H666" s="2" t="str">
        <f>_xlfn.XLOOKUP(orders!C666,customers!$A$2:$A$1001,customers!$G$2:$G$1001,0)</f>
        <v>United States</v>
      </c>
      <c r="I666" t="str">
        <f>INDEX(products!$A$1:$G$49,MATCH(orders!$D666,products!$A$1:$A$49,0),MATCH($I$1,products!$A$1:$G$1,0))</f>
        <v>Exc</v>
      </c>
      <c r="J666" t="str">
        <f>INDEX(products!$A$1:$G$49,MATCH(orders!$D666,products!$A$1:$A$49,0),MATCH($J$1,products!$A$1:$G$1,0))</f>
        <v>D</v>
      </c>
      <c r="K666" s="1">
        <f>INDEX(products!$A$1:$G$49,MATCH(orders!$D666,products!$A$1:$A$49,0),MATCH($K$1,products!$A$1:$G$1,0))</f>
        <v>1</v>
      </c>
      <c r="L666">
        <f>INDEX(products!$A$1:$G$49,MATCH(orders!$D666,products!$A$1:$A$49,0),MATCH($L$1,products!$A$1:$G$1,0))</f>
        <v>12.15</v>
      </c>
      <c r="M666">
        <f t="shared" si="31"/>
        <v>72.900000000000006</v>
      </c>
      <c r="N666" t="str">
        <f t="shared" si="32"/>
        <v>Excelsa</v>
      </c>
      <c r="O666" t="str">
        <f t="shared" si="33"/>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_xlfn.XLOOKUP(C667,customers!$A$2:$A$1001,customers!$B$2:$B$1001,0)</f>
        <v>Ira Sjostrom</v>
      </c>
      <c r="G667" s="2" t="str">
        <f>_xlfn.XLOOKUP(C667,customers!$A$2:$A$1001,customers!$C$2:$C$1001,0)</f>
        <v>isjostromig@pbs.org</v>
      </c>
      <c r="H667" s="2" t="str">
        <f>_xlfn.XLOOKUP(orders!C667,customers!$A$2:$A$1001,customers!$G$2:$G$1001,0)</f>
        <v>United States</v>
      </c>
      <c r="I667" t="str">
        <f>INDEX(products!$A$1:$G$49,MATCH(orders!$D667,products!$A$1:$A$49,0),MATCH($I$1,products!$A$1:$G$1,0))</f>
        <v>Lib</v>
      </c>
      <c r="J667" t="str">
        <f>INDEX(products!$A$1:$G$49,MATCH(orders!$D667,products!$A$1:$A$49,0),MATCH($J$1,products!$A$1:$G$1,0))</f>
        <v>D</v>
      </c>
      <c r="K667" s="1">
        <f>INDEX(products!$A$1:$G$49,MATCH(orders!$D667,products!$A$1:$A$49,0),MATCH($K$1,products!$A$1:$G$1,0))</f>
        <v>0.2</v>
      </c>
      <c r="L667">
        <f>INDEX(products!$A$1:$G$49,MATCH(orders!$D667,products!$A$1:$A$49,0),MATCH($L$1,products!$A$1:$G$1,0))</f>
        <v>3.8849999999999998</v>
      </c>
      <c r="M667">
        <f t="shared" si="31"/>
        <v>7.77</v>
      </c>
      <c r="N667" t="str">
        <f t="shared" si="32"/>
        <v>Liberica</v>
      </c>
      <c r="O667" t="str">
        <f t="shared" si="33"/>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_xlfn.XLOOKUP(C668,customers!$A$2:$A$1001,customers!$B$2:$B$1001,0)</f>
        <v>Jermaine Branchett</v>
      </c>
      <c r="G668" s="2" t="str">
        <f>_xlfn.XLOOKUP(C668,customers!$A$2:$A$1001,customers!$C$2:$C$1001,0)</f>
        <v>jbranchettii@bravesites.com</v>
      </c>
      <c r="H668" s="2" t="str">
        <f>_xlfn.XLOOKUP(orders!C668,customers!$A$2:$A$1001,customers!$G$2:$G$1001,0)</f>
        <v>United States</v>
      </c>
      <c r="I668" t="str">
        <f>INDEX(products!$A$1:$G$49,MATCH(orders!$D668,products!$A$1:$A$49,0),MATCH($I$1,products!$A$1:$G$1,0))</f>
        <v>Ara</v>
      </c>
      <c r="J668" t="str">
        <f>INDEX(products!$A$1:$G$49,MATCH(orders!$D668,products!$A$1:$A$49,0),MATCH($J$1,products!$A$1:$G$1,0))</f>
        <v>D</v>
      </c>
      <c r="K668" s="1">
        <f>INDEX(products!$A$1:$G$49,MATCH(orders!$D668,products!$A$1:$A$49,0),MATCH($K$1,products!$A$1:$G$1,0))</f>
        <v>2.5</v>
      </c>
      <c r="L668">
        <f>INDEX(products!$A$1:$G$49,MATCH(orders!$D668,products!$A$1:$A$49,0),MATCH($L$1,products!$A$1:$G$1,0))</f>
        <v>22.884999999999998</v>
      </c>
      <c r="M668">
        <f t="shared" si="31"/>
        <v>91.539999999999992</v>
      </c>
      <c r="N668" t="str">
        <f t="shared" si="32"/>
        <v>Arabica</v>
      </c>
      <c r="O668" t="str">
        <f t="shared" si="33"/>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_xlfn.XLOOKUP(C669,customers!$A$2:$A$1001,customers!$B$2:$B$1001,0)</f>
        <v>Nissie Rudland</v>
      </c>
      <c r="G669" s="2" t="str">
        <f>_xlfn.XLOOKUP(C669,customers!$A$2:$A$1001,customers!$C$2:$C$1001,0)</f>
        <v>nrudlandij@blogs.com</v>
      </c>
      <c r="H669" s="2" t="str">
        <f>_xlfn.XLOOKUP(orders!C669,customers!$A$2:$A$1001,customers!$G$2:$G$1001,0)</f>
        <v>Ireland</v>
      </c>
      <c r="I669" t="str">
        <f>INDEX(products!$A$1:$G$49,MATCH(orders!$D669,products!$A$1:$A$49,0),MATCH($I$1,products!$A$1:$G$1,0))</f>
        <v>Ara</v>
      </c>
      <c r="J669" t="str">
        <f>INDEX(products!$A$1:$G$49,MATCH(orders!$D669,products!$A$1:$A$49,0),MATCH($J$1,products!$A$1:$G$1,0))</f>
        <v>D</v>
      </c>
      <c r="K669" s="1">
        <f>INDEX(products!$A$1:$G$49,MATCH(orders!$D669,products!$A$1:$A$49,0),MATCH($K$1,products!$A$1:$G$1,0))</f>
        <v>1</v>
      </c>
      <c r="L669">
        <f>INDEX(products!$A$1:$G$49,MATCH(orders!$D669,products!$A$1:$A$49,0),MATCH($L$1,products!$A$1:$G$1,0))</f>
        <v>9.9499999999999993</v>
      </c>
      <c r="M669">
        <f t="shared" si="31"/>
        <v>59.699999999999996</v>
      </c>
      <c r="N669" t="str">
        <f t="shared" si="32"/>
        <v>Arabica</v>
      </c>
      <c r="O669" t="str">
        <f t="shared" si="33"/>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_xlfn.XLOOKUP(C670,customers!$A$2:$A$1001,customers!$B$2:$B$1001,0)</f>
        <v>Janella Millett</v>
      </c>
      <c r="G670" s="2" t="str">
        <f>_xlfn.XLOOKUP(C670,customers!$A$2:$A$1001,customers!$C$2:$C$1001,0)</f>
        <v>jmillettik@addtoany.com</v>
      </c>
      <c r="H670" s="2" t="str">
        <f>_xlfn.XLOOKUP(orders!C670,customers!$A$2:$A$1001,customers!$G$2:$G$1001,0)</f>
        <v>United States</v>
      </c>
      <c r="I670" t="str">
        <f>INDEX(products!$A$1:$G$49,MATCH(orders!$D670,products!$A$1:$A$49,0),MATCH($I$1,products!$A$1:$G$1,0))</f>
        <v>Rob</v>
      </c>
      <c r="J670" t="str">
        <f>INDEX(products!$A$1:$G$49,MATCH(orders!$D670,products!$A$1:$A$49,0),MATCH($J$1,products!$A$1:$G$1,0))</f>
        <v>L</v>
      </c>
      <c r="K670" s="1">
        <f>INDEX(products!$A$1:$G$49,MATCH(orders!$D670,products!$A$1:$A$49,0),MATCH($K$1,products!$A$1:$G$1,0))</f>
        <v>2.5</v>
      </c>
      <c r="L670">
        <f>INDEX(products!$A$1:$G$49,MATCH(orders!$D670,products!$A$1:$A$49,0),MATCH($L$1,products!$A$1:$G$1,0))</f>
        <v>27.484999999999996</v>
      </c>
      <c r="M670">
        <f t="shared" si="31"/>
        <v>137.42499999999998</v>
      </c>
      <c r="N670" t="str">
        <f t="shared" si="32"/>
        <v>Robusta</v>
      </c>
      <c r="O670" t="str">
        <f t="shared" si="33"/>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_xlfn.XLOOKUP(C671,customers!$A$2:$A$1001,customers!$B$2:$B$1001,0)</f>
        <v>Ferdie Tourry</v>
      </c>
      <c r="G671" s="2" t="str">
        <f>_xlfn.XLOOKUP(C671,customers!$A$2:$A$1001,customers!$C$2:$C$1001,0)</f>
        <v>ftourryil@google.de</v>
      </c>
      <c r="H671" s="2" t="str">
        <f>_xlfn.XLOOKUP(orders!C671,customers!$A$2:$A$1001,customers!$G$2:$G$1001,0)</f>
        <v>United States</v>
      </c>
      <c r="I671" t="str">
        <f>INDEX(products!$A$1:$G$49,MATCH(orders!$D671,products!$A$1:$A$49,0),MATCH($I$1,products!$A$1:$G$1,0))</f>
        <v>Lib</v>
      </c>
      <c r="J671" t="str">
        <f>INDEX(products!$A$1:$G$49,MATCH(orders!$D671,products!$A$1:$A$49,0),MATCH($J$1,products!$A$1:$G$1,0))</f>
        <v>M</v>
      </c>
      <c r="K671" s="1">
        <f>INDEX(products!$A$1:$G$49,MATCH(orders!$D671,products!$A$1:$A$49,0),MATCH($K$1,products!$A$1:$G$1,0))</f>
        <v>2.5</v>
      </c>
      <c r="L671">
        <f>INDEX(products!$A$1:$G$49,MATCH(orders!$D671,products!$A$1:$A$49,0),MATCH($L$1,products!$A$1:$G$1,0))</f>
        <v>33.464999999999996</v>
      </c>
      <c r="M671">
        <f t="shared" si="31"/>
        <v>66.929999999999993</v>
      </c>
      <c r="N671" t="str">
        <f t="shared" si="32"/>
        <v>Liberica</v>
      </c>
      <c r="O671" t="str">
        <f t="shared" si="33"/>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_xlfn.XLOOKUP(C672,customers!$A$2:$A$1001,customers!$B$2:$B$1001,0)</f>
        <v>Cecil Weatherall</v>
      </c>
      <c r="G672" s="2" t="str">
        <f>_xlfn.XLOOKUP(C672,customers!$A$2:$A$1001,customers!$C$2:$C$1001,0)</f>
        <v>cweatherallim@toplist.cz</v>
      </c>
      <c r="H672" s="2" t="str">
        <f>_xlfn.XLOOKUP(orders!C672,customers!$A$2:$A$1001,customers!$G$2:$G$1001,0)</f>
        <v>United States</v>
      </c>
      <c r="I672" t="str">
        <f>INDEX(products!$A$1:$G$49,MATCH(orders!$D672,products!$A$1:$A$49,0),MATCH($I$1,products!$A$1:$G$1,0))</f>
        <v>Lib</v>
      </c>
      <c r="J672" t="str">
        <f>INDEX(products!$A$1:$G$49,MATCH(orders!$D672,products!$A$1:$A$49,0),MATCH($J$1,products!$A$1:$G$1,0))</f>
        <v>M</v>
      </c>
      <c r="K672" s="1">
        <f>INDEX(products!$A$1:$G$49,MATCH(orders!$D672,products!$A$1:$A$49,0),MATCH($K$1,products!$A$1:$G$1,0))</f>
        <v>0.2</v>
      </c>
      <c r="L672">
        <f>INDEX(products!$A$1:$G$49,MATCH(orders!$D672,products!$A$1:$A$49,0),MATCH($L$1,products!$A$1:$G$1,0))</f>
        <v>4.3650000000000002</v>
      </c>
      <c r="M672">
        <f t="shared" si="31"/>
        <v>13.095000000000001</v>
      </c>
      <c r="N672" t="str">
        <f t="shared" si="32"/>
        <v>Liberica</v>
      </c>
      <c r="O672" t="str">
        <f t="shared" si="33"/>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_xlfn.XLOOKUP(C673,customers!$A$2:$A$1001,customers!$B$2:$B$1001,0)</f>
        <v>Gale Heindrick</v>
      </c>
      <c r="G673" s="2" t="str">
        <f>_xlfn.XLOOKUP(C673,customers!$A$2:$A$1001,customers!$C$2:$C$1001,0)</f>
        <v>gheindrickin@usda.gov</v>
      </c>
      <c r="H673" s="2" t="str">
        <f>_xlfn.XLOOKUP(orders!C673,customers!$A$2:$A$1001,customers!$G$2:$G$1001,0)</f>
        <v>United States</v>
      </c>
      <c r="I673" t="str">
        <f>INDEX(products!$A$1:$G$49,MATCH(orders!$D673,products!$A$1:$A$49,0),MATCH($I$1,products!$A$1:$G$1,0))</f>
        <v>Rob</v>
      </c>
      <c r="J673" t="str">
        <f>INDEX(products!$A$1:$G$49,MATCH(orders!$D673,products!$A$1:$A$49,0),MATCH($J$1,products!$A$1:$G$1,0))</f>
        <v>L</v>
      </c>
      <c r="K673" s="1">
        <f>INDEX(products!$A$1:$G$49,MATCH(orders!$D673,products!$A$1:$A$49,0),MATCH($K$1,products!$A$1:$G$1,0))</f>
        <v>1</v>
      </c>
      <c r="L673">
        <f>INDEX(products!$A$1:$G$49,MATCH(orders!$D673,products!$A$1:$A$49,0),MATCH($L$1,products!$A$1:$G$1,0))</f>
        <v>11.95</v>
      </c>
      <c r="M673">
        <f t="shared" si="31"/>
        <v>59.75</v>
      </c>
      <c r="N673" t="str">
        <f t="shared" si="32"/>
        <v>Robusta</v>
      </c>
      <c r="O673" t="str">
        <f t="shared" si="33"/>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_xlfn.XLOOKUP(C674,customers!$A$2:$A$1001,customers!$B$2:$B$1001,0)</f>
        <v>Layne Imason</v>
      </c>
      <c r="G674" s="2" t="str">
        <f>_xlfn.XLOOKUP(C674,customers!$A$2:$A$1001,customers!$C$2:$C$1001,0)</f>
        <v>limasonio@discuz.net</v>
      </c>
      <c r="H674" s="2" t="str">
        <f>_xlfn.XLOOKUP(orders!C674,customers!$A$2:$A$1001,customers!$G$2:$G$1001,0)</f>
        <v>United States</v>
      </c>
      <c r="I674" t="str">
        <f>INDEX(products!$A$1:$G$49,MATCH(orders!$D674,products!$A$1:$A$49,0),MATCH($I$1,products!$A$1:$G$1,0))</f>
        <v>Lib</v>
      </c>
      <c r="J674" t="str">
        <f>INDEX(products!$A$1:$G$49,MATCH(orders!$D674,products!$A$1:$A$49,0),MATCH($J$1,products!$A$1:$G$1,0))</f>
        <v>M</v>
      </c>
      <c r="K674" s="1">
        <f>INDEX(products!$A$1:$G$49,MATCH(orders!$D674,products!$A$1:$A$49,0),MATCH($K$1,products!$A$1:$G$1,0))</f>
        <v>0.5</v>
      </c>
      <c r="L674">
        <f>INDEX(products!$A$1:$G$49,MATCH(orders!$D674,products!$A$1:$A$49,0),MATCH($L$1,products!$A$1:$G$1,0))</f>
        <v>8.73</v>
      </c>
      <c r="M674">
        <f t="shared" si="31"/>
        <v>43.650000000000006</v>
      </c>
      <c r="N674" t="str">
        <f t="shared" si="32"/>
        <v>Liberica</v>
      </c>
      <c r="O674" t="str">
        <f t="shared" si="33"/>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_xlfn.XLOOKUP(C675,customers!$A$2:$A$1001,customers!$B$2:$B$1001,0)</f>
        <v>Hazel Saill</v>
      </c>
      <c r="G675" s="2" t="str">
        <f>_xlfn.XLOOKUP(C675,customers!$A$2:$A$1001,customers!$C$2:$C$1001,0)</f>
        <v>hsaillip@odnoklassniki.ru</v>
      </c>
      <c r="H675" s="2" t="str">
        <f>_xlfn.XLOOKUP(orders!C675,customers!$A$2:$A$1001,customers!$G$2:$G$1001,0)</f>
        <v>United States</v>
      </c>
      <c r="I675" t="str">
        <f>INDEX(products!$A$1:$G$49,MATCH(orders!$D675,products!$A$1:$A$49,0),MATCH($I$1,products!$A$1:$G$1,0))</f>
        <v>Exc</v>
      </c>
      <c r="J675" t="str">
        <f>INDEX(products!$A$1:$G$49,MATCH(orders!$D675,products!$A$1:$A$49,0),MATCH($J$1,products!$A$1:$G$1,0))</f>
        <v>M</v>
      </c>
      <c r="K675" s="1">
        <f>INDEX(products!$A$1:$G$49,MATCH(orders!$D675,products!$A$1:$A$49,0),MATCH($K$1,products!$A$1:$G$1,0))</f>
        <v>1</v>
      </c>
      <c r="L675">
        <f>INDEX(products!$A$1:$G$49,MATCH(orders!$D675,products!$A$1:$A$49,0),MATCH($L$1,products!$A$1:$G$1,0))</f>
        <v>13.75</v>
      </c>
      <c r="M675">
        <f t="shared" si="31"/>
        <v>82.5</v>
      </c>
      <c r="N675" t="str">
        <f t="shared" si="32"/>
        <v>Excelsa</v>
      </c>
      <c r="O675" t="str">
        <f t="shared" si="33"/>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_xlfn.XLOOKUP(C676,customers!$A$2:$A$1001,customers!$B$2:$B$1001,0)</f>
        <v>Hermann Larvor</v>
      </c>
      <c r="G676" s="2" t="str">
        <f>_xlfn.XLOOKUP(C676,customers!$A$2:$A$1001,customers!$C$2:$C$1001,0)</f>
        <v>hlarvoriq@last.fm</v>
      </c>
      <c r="H676" s="2" t="str">
        <f>_xlfn.XLOOKUP(orders!C676,customers!$A$2:$A$1001,customers!$G$2:$G$1001,0)</f>
        <v>United States</v>
      </c>
      <c r="I676" t="str">
        <f>INDEX(products!$A$1:$G$49,MATCH(orders!$D676,products!$A$1:$A$49,0),MATCH($I$1,products!$A$1:$G$1,0))</f>
        <v>Ara</v>
      </c>
      <c r="J676" t="str">
        <f>INDEX(products!$A$1:$G$49,MATCH(orders!$D676,products!$A$1:$A$49,0),MATCH($J$1,products!$A$1:$G$1,0))</f>
        <v>L</v>
      </c>
      <c r="K676" s="1">
        <f>INDEX(products!$A$1:$G$49,MATCH(orders!$D676,products!$A$1:$A$49,0),MATCH($K$1,products!$A$1:$G$1,0))</f>
        <v>2.5</v>
      </c>
      <c r="L676">
        <f>INDEX(products!$A$1:$G$49,MATCH(orders!$D676,products!$A$1:$A$49,0),MATCH($L$1,products!$A$1:$G$1,0))</f>
        <v>29.784999999999997</v>
      </c>
      <c r="M676">
        <f t="shared" si="31"/>
        <v>178.70999999999998</v>
      </c>
      <c r="N676" t="str">
        <f t="shared" si="32"/>
        <v>Arabica</v>
      </c>
      <c r="O676" t="str">
        <f t="shared" si="33"/>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_xlfn.XLOOKUP(C677,customers!$A$2:$A$1001,customers!$B$2:$B$1001,0)</f>
        <v>Terri Lyford</v>
      </c>
      <c r="G677" s="2">
        <f>_xlfn.XLOOKUP(C677,customers!$A$2:$A$1001,customers!$C$2:$C$1001,0)</f>
        <v>0</v>
      </c>
      <c r="H677" s="2" t="str">
        <f>_xlfn.XLOOKUP(orders!C677,customers!$A$2:$A$1001,customers!$G$2:$G$1001,0)</f>
        <v>United States</v>
      </c>
      <c r="I677" t="str">
        <f>INDEX(products!$A$1:$G$49,MATCH(orders!$D677,products!$A$1:$A$49,0),MATCH($I$1,products!$A$1:$G$1,0))</f>
        <v>Lib</v>
      </c>
      <c r="J677" t="str">
        <f>INDEX(products!$A$1:$G$49,MATCH(orders!$D677,products!$A$1:$A$49,0),MATCH($J$1,products!$A$1:$G$1,0))</f>
        <v>D</v>
      </c>
      <c r="K677" s="1">
        <f>INDEX(products!$A$1:$G$49,MATCH(orders!$D677,products!$A$1:$A$49,0),MATCH($K$1,products!$A$1:$G$1,0))</f>
        <v>2.5</v>
      </c>
      <c r="L677">
        <f>INDEX(products!$A$1:$G$49,MATCH(orders!$D677,products!$A$1:$A$49,0),MATCH($L$1,products!$A$1:$G$1,0))</f>
        <v>29.784999999999997</v>
      </c>
      <c r="M677">
        <f t="shared" si="31"/>
        <v>119.13999999999999</v>
      </c>
      <c r="N677" t="str">
        <f t="shared" si="32"/>
        <v>Liberica</v>
      </c>
      <c r="O677" t="str">
        <f t="shared" si="33"/>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_xlfn.XLOOKUP(C678,customers!$A$2:$A$1001,customers!$B$2:$B$1001,0)</f>
        <v>Gabey Cogan</v>
      </c>
      <c r="G678" s="2">
        <f>_xlfn.XLOOKUP(C678,customers!$A$2:$A$1001,customers!$C$2:$C$1001,0)</f>
        <v>0</v>
      </c>
      <c r="H678" s="2" t="str">
        <f>_xlfn.XLOOKUP(orders!C678,customers!$A$2:$A$1001,customers!$G$2:$G$1001,0)</f>
        <v>United States</v>
      </c>
      <c r="I678" t="str">
        <f>INDEX(products!$A$1:$G$49,MATCH(orders!$D678,products!$A$1:$A$49,0),MATCH($I$1,products!$A$1:$G$1,0))</f>
        <v>Lib</v>
      </c>
      <c r="J678" t="str">
        <f>INDEX(products!$A$1:$G$49,MATCH(orders!$D678,products!$A$1:$A$49,0),MATCH($J$1,products!$A$1:$G$1,0))</f>
        <v>L</v>
      </c>
      <c r="K678" s="1">
        <f>INDEX(products!$A$1:$G$49,MATCH(orders!$D678,products!$A$1:$A$49,0),MATCH($K$1,products!$A$1:$G$1,0))</f>
        <v>0.5</v>
      </c>
      <c r="L678">
        <f>INDEX(products!$A$1:$G$49,MATCH(orders!$D678,products!$A$1:$A$49,0),MATCH($L$1,products!$A$1:$G$1,0))</f>
        <v>9.51</v>
      </c>
      <c r="M678">
        <f t="shared" si="31"/>
        <v>47.55</v>
      </c>
      <c r="N678" t="str">
        <f t="shared" si="32"/>
        <v>Liberica</v>
      </c>
      <c r="O678" t="str">
        <f t="shared" si="33"/>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_xlfn.XLOOKUP(C679,customers!$A$2:$A$1001,customers!$B$2:$B$1001,0)</f>
        <v>Charin Penwarden</v>
      </c>
      <c r="G679" s="2" t="str">
        <f>_xlfn.XLOOKUP(C679,customers!$A$2:$A$1001,customers!$C$2:$C$1001,0)</f>
        <v>cpenwardenit@mlb.com</v>
      </c>
      <c r="H679" s="2" t="str">
        <f>_xlfn.XLOOKUP(orders!C679,customers!$A$2:$A$1001,customers!$G$2:$G$1001,0)</f>
        <v>Ireland</v>
      </c>
      <c r="I679" t="str">
        <f>INDEX(products!$A$1:$G$49,MATCH(orders!$D679,products!$A$1:$A$49,0),MATCH($I$1,products!$A$1:$G$1,0))</f>
        <v>Lib</v>
      </c>
      <c r="J679" t="str">
        <f>INDEX(products!$A$1:$G$49,MATCH(orders!$D679,products!$A$1:$A$49,0),MATCH($J$1,products!$A$1:$G$1,0))</f>
        <v>M</v>
      </c>
      <c r="K679" s="1">
        <f>INDEX(products!$A$1:$G$49,MATCH(orders!$D679,products!$A$1:$A$49,0),MATCH($K$1,products!$A$1:$G$1,0))</f>
        <v>0.5</v>
      </c>
      <c r="L679">
        <f>INDEX(products!$A$1:$G$49,MATCH(orders!$D679,products!$A$1:$A$49,0),MATCH($L$1,products!$A$1:$G$1,0))</f>
        <v>8.73</v>
      </c>
      <c r="M679">
        <f t="shared" si="31"/>
        <v>43.650000000000006</v>
      </c>
      <c r="N679" t="str">
        <f t="shared" si="32"/>
        <v>Liberica</v>
      </c>
      <c r="O679" t="str">
        <f t="shared" si="33"/>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_xlfn.XLOOKUP(C680,customers!$A$2:$A$1001,customers!$B$2:$B$1001,0)</f>
        <v>Milty Middis</v>
      </c>
      <c r="G680" s="2" t="str">
        <f>_xlfn.XLOOKUP(C680,customers!$A$2:$A$1001,customers!$C$2:$C$1001,0)</f>
        <v>mmiddisiu@dmoz.org</v>
      </c>
      <c r="H680" s="2" t="str">
        <f>_xlfn.XLOOKUP(orders!C680,customers!$A$2:$A$1001,customers!$G$2:$G$1001,0)</f>
        <v>United States</v>
      </c>
      <c r="I680" t="str">
        <f>INDEX(products!$A$1:$G$49,MATCH(orders!$D680,products!$A$1:$A$49,0),MATCH($I$1,products!$A$1:$G$1,0))</f>
        <v>Ara</v>
      </c>
      <c r="J680" t="str">
        <f>INDEX(products!$A$1:$G$49,MATCH(orders!$D680,products!$A$1:$A$49,0),MATCH($J$1,products!$A$1:$G$1,0))</f>
        <v>L</v>
      </c>
      <c r="K680" s="1">
        <f>INDEX(products!$A$1:$G$49,MATCH(orders!$D680,products!$A$1:$A$49,0),MATCH($K$1,products!$A$1:$G$1,0))</f>
        <v>2.5</v>
      </c>
      <c r="L680">
        <f>INDEX(products!$A$1:$G$49,MATCH(orders!$D680,products!$A$1:$A$49,0),MATCH($L$1,products!$A$1:$G$1,0))</f>
        <v>29.784999999999997</v>
      </c>
      <c r="M680">
        <f t="shared" si="31"/>
        <v>178.70999999999998</v>
      </c>
      <c r="N680" t="str">
        <f t="shared" si="32"/>
        <v>Arabica</v>
      </c>
      <c r="O680" t="str">
        <f t="shared" si="33"/>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_xlfn.XLOOKUP(C681,customers!$A$2:$A$1001,customers!$B$2:$B$1001,0)</f>
        <v>Adrianne Vairow</v>
      </c>
      <c r="G681" s="2" t="str">
        <f>_xlfn.XLOOKUP(C681,customers!$A$2:$A$1001,customers!$C$2:$C$1001,0)</f>
        <v>avairowiv@studiopress.com</v>
      </c>
      <c r="H681" s="2" t="str">
        <f>_xlfn.XLOOKUP(orders!C681,customers!$A$2:$A$1001,customers!$G$2:$G$1001,0)</f>
        <v>United Kingdom</v>
      </c>
      <c r="I681" t="str">
        <f>INDEX(products!$A$1:$G$49,MATCH(orders!$D681,products!$A$1:$A$49,0),MATCH($I$1,products!$A$1:$G$1,0))</f>
        <v>Rob</v>
      </c>
      <c r="J681" t="str">
        <f>INDEX(products!$A$1:$G$49,MATCH(orders!$D681,products!$A$1:$A$49,0),MATCH($J$1,products!$A$1:$G$1,0))</f>
        <v>L</v>
      </c>
      <c r="K681" s="1">
        <f>INDEX(products!$A$1:$G$49,MATCH(orders!$D681,products!$A$1:$A$49,0),MATCH($K$1,products!$A$1:$G$1,0))</f>
        <v>2.5</v>
      </c>
      <c r="L681">
        <f>INDEX(products!$A$1:$G$49,MATCH(orders!$D681,products!$A$1:$A$49,0),MATCH($L$1,products!$A$1:$G$1,0))</f>
        <v>27.484999999999996</v>
      </c>
      <c r="M681">
        <f t="shared" si="31"/>
        <v>27.484999999999996</v>
      </c>
      <c r="N681" t="str">
        <f t="shared" si="32"/>
        <v>Robusta</v>
      </c>
      <c r="O681" t="str">
        <f t="shared" si="33"/>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_xlfn.XLOOKUP(C682,customers!$A$2:$A$1001,customers!$B$2:$B$1001,0)</f>
        <v>Anjanette Goldie</v>
      </c>
      <c r="G682" s="2" t="str">
        <f>_xlfn.XLOOKUP(C682,customers!$A$2:$A$1001,customers!$C$2:$C$1001,0)</f>
        <v>agoldieiw@goo.gl</v>
      </c>
      <c r="H682" s="2" t="str">
        <f>_xlfn.XLOOKUP(orders!C682,customers!$A$2:$A$1001,customers!$G$2:$G$1001,0)</f>
        <v>United States</v>
      </c>
      <c r="I682" t="str">
        <f>INDEX(products!$A$1:$G$49,MATCH(orders!$D682,products!$A$1:$A$49,0),MATCH($I$1,products!$A$1:$G$1,0))</f>
        <v>Ara</v>
      </c>
      <c r="J682" t="str">
        <f>INDEX(products!$A$1:$G$49,MATCH(orders!$D682,products!$A$1:$A$49,0),MATCH($J$1,products!$A$1:$G$1,0))</f>
        <v>M</v>
      </c>
      <c r="K682" s="1">
        <f>INDEX(products!$A$1:$G$49,MATCH(orders!$D682,products!$A$1:$A$49,0),MATCH($K$1,products!$A$1:$G$1,0))</f>
        <v>1</v>
      </c>
      <c r="L682">
        <f>INDEX(products!$A$1:$G$49,MATCH(orders!$D682,products!$A$1:$A$49,0),MATCH($L$1,products!$A$1:$G$1,0))</f>
        <v>11.25</v>
      </c>
      <c r="M682">
        <f t="shared" si="31"/>
        <v>56.25</v>
      </c>
      <c r="N682" t="str">
        <f t="shared" si="32"/>
        <v>Arabica</v>
      </c>
      <c r="O682" t="str">
        <f t="shared" si="33"/>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_xlfn.XLOOKUP(C683,customers!$A$2:$A$1001,customers!$B$2:$B$1001,0)</f>
        <v>Nicky Ayris</v>
      </c>
      <c r="G683" s="2" t="str">
        <f>_xlfn.XLOOKUP(C683,customers!$A$2:$A$1001,customers!$C$2:$C$1001,0)</f>
        <v>nayrisix@t-online.de</v>
      </c>
      <c r="H683" s="2" t="str">
        <f>_xlfn.XLOOKUP(orders!C683,customers!$A$2:$A$1001,customers!$G$2:$G$1001,0)</f>
        <v>United Kingdom</v>
      </c>
      <c r="I683" t="str">
        <f>INDEX(products!$A$1:$G$49,MATCH(orders!$D683,products!$A$1:$A$49,0),MATCH($I$1,products!$A$1:$G$1,0))</f>
        <v>Lib</v>
      </c>
      <c r="J683" t="str">
        <f>INDEX(products!$A$1:$G$49,MATCH(orders!$D683,products!$A$1:$A$49,0),MATCH($J$1,products!$A$1:$G$1,0))</f>
        <v>L</v>
      </c>
      <c r="K683" s="1">
        <f>INDEX(products!$A$1:$G$49,MATCH(orders!$D683,products!$A$1:$A$49,0),MATCH($K$1,products!$A$1:$G$1,0))</f>
        <v>0.2</v>
      </c>
      <c r="L683">
        <f>INDEX(products!$A$1:$G$49,MATCH(orders!$D683,products!$A$1:$A$49,0),MATCH($L$1,products!$A$1:$G$1,0))</f>
        <v>4.7549999999999999</v>
      </c>
      <c r="M683">
        <f t="shared" si="31"/>
        <v>9.51</v>
      </c>
      <c r="N683" t="str">
        <f t="shared" si="32"/>
        <v>Liberica</v>
      </c>
      <c r="O683" t="str">
        <f t="shared" si="33"/>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_xlfn.XLOOKUP(C684,customers!$A$2:$A$1001,customers!$B$2:$B$1001,0)</f>
        <v>Laryssa Benediktovich</v>
      </c>
      <c r="G684" s="2" t="str">
        <f>_xlfn.XLOOKUP(C684,customers!$A$2:$A$1001,customers!$C$2:$C$1001,0)</f>
        <v>lbenediktovichiy@wunderground.com</v>
      </c>
      <c r="H684" s="2" t="str">
        <f>_xlfn.XLOOKUP(orders!C684,customers!$A$2:$A$1001,customers!$G$2:$G$1001,0)</f>
        <v>United States</v>
      </c>
      <c r="I684" t="str">
        <f>INDEX(products!$A$1:$G$49,MATCH(orders!$D684,products!$A$1:$A$49,0),MATCH($I$1,products!$A$1:$G$1,0))</f>
        <v>Exc</v>
      </c>
      <c r="J684" t="str">
        <f>INDEX(products!$A$1:$G$49,MATCH(orders!$D684,products!$A$1:$A$49,0),MATCH($J$1,products!$A$1:$G$1,0))</f>
        <v>M</v>
      </c>
      <c r="K684" s="1">
        <f>INDEX(products!$A$1:$G$49,MATCH(orders!$D684,products!$A$1:$A$49,0),MATCH($K$1,products!$A$1:$G$1,0))</f>
        <v>0.2</v>
      </c>
      <c r="L684">
        <f>INDEX(products!$A$1:$G$49,MATCH(orders!$D684,products!$A$1:$A$49,0),MATCH($L$1,products!$A$1:$G$1,0))</f>
        <v>4.125</v>
      </c>
      <c r="M684">
        <f t="shared" si="31"/>
        <v>8.25</v>
      </c>
      <c r="N684" t="str">
        <f t="shared" si="32"/>
        <v>Excelsa</v>
      </c>
      <c r="O684" t="str">
        <f t="shared" si="33"/>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_xlfn.XLOOKUP(C685,customers!$A$2:$A$1001,customers!$B$2:$B$1001,0)</f>
        <v>Theo Jacobovitz</v>
      </c>
      <c r="G685" s="2" t="str">
        <f>_xlfn.XLOOKUP(C685,customers!$A$2:$A$1001,customers!$C$2:$C$1001,0)</f>
        <v>tjacobovitziz@cbc.ca</v>
      </c>
      <c r="H685" s="2" t="str">
        <f>_xlfn.XLOOKUP(orders!C685,customers!$A$2:$A$1001,customers!$G$2:$G$1001,0)</f>
        <v>United States</v>
      </c>
      <c r="I685" t="str">
        <f>INDEX(products!$A$1:$G$49,MATCH(orders!$D685,products!$A$1:$A$49,0),MATCH($I$1,products!$A$1:$G$1,0))</f>
        <v>Lib</v>
      </c>
      <c r="J685" t="str">
        <f>INDEX(products!$A$1:$G$49,MATCH(orders!$D685,products!$A$1:$A$49,0),MATCH($J$1,products!$A$1:$G$1,0))</f>
        <v>D</v>
      </c>
      <c r="K685" s="1">
        <f>INDEX(products!$A$1:$G$49,MATCH(orders!$D685,products!$A$1:$A$49,0),MATCH($K$1,products!$A$1:$G$1,0))</f>
        <v>0.5</v>
      </c>
      <c r="L685">
        <f>INDEX(products!$A$1:$G$49,MATCH(orders!$D685,products!$A$1:$A$49,0),MATCH($L$1,products!$A$1:$G$1,0))</f>
        <v>7.77</v>
      </c>
      <c r="M685">
        <f t="shared" si="31"/>
        <v>46.62</v>
      </c>
      <c r="N685" t="str">
        <f t="shared" si="32"/>
        <v>Liberica</v>
      </c>
      <c r="O685" t="str">
        <f t="shared" si="33"/>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_xlfn.XLOOKUP(C686,customers!$A$2:$A$1001,customers!$B$2:$B$1001,0)</f>
        <v>Becca Ableson</v>
      </c>
      <c r="G686" s="2">
        <f>_xlfn.XLOOKUP(C686,customers!$A$2:$A$1001,customers!$C$2:$C$1001,0)</f>
        <v>0</v>
      </c>
      <c r="H686" s="2" t="str">
        <f>_xlfn.XLOOKUP(orders!C686,customers!$A$2:$A$1001,customers!$G$2:$G$1001,0)</f>
        <v>United States</v>
      </c>
      <c r="I686" t="str">
        <f>INDEX(products!$A$1:$G$49,MATCH(orders!$D686,products!$A$1:$A$49,0),MATCH($I$1,products!$A$1:$G$1,0))</f>
        <v>Rob</v>
      </c>
      <c r="J686" t="str">
        <f>INDEX(products!$A$1:$G$49,MATCH(orders!$D686,products!$A$1:$A$49,0),MATCH($J$1,products!$A$1:$G$1,0))</f>
        <v>L</v>
      </c>
      <c r="K686" s="1">
        <f>INDEX(products!$A$1:$G$49,MATCH(orders!$D686,products!$A$1:$A$49,0),MATCH($K$1,products!$A$1:$G$1,0))</f>
        <v>1</v>
      </c>
      <c r="L686">
        <f>INDEX(products!$A$1:$G$49,MATCH(orders!$D686,products!$A$1:$A$49,0),MATCH($L$1,products!$A$1:$G$1,0))</f>
        <v>11.95</v>
      </c>
      <c r="M686">
        <f t="shared" si="31"/>
        <v>71.699999999999989</v>
      </c>
      <c r="N686" t="str">
        <f t="shared" si="32"/>
        <v>Robusta</v>
      </c>
      <c r="O686" t="str">
        <f t="shared" si="33"/>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_xlfn.XLOOKUP(C687,customers!$A$2:$A$1001,customers!$B$2:$B$1001,0)</f>
        <v>Jeno Druitt</v>
      </c>
      <c r="G687" s="2" t="str">
        <f>_xlfn.XLOOKUP(C687,customers!$A$2:$A$1001,customers!$C$2:$C$1001,0)</f>
        <v>jdruittj1@feedburner.com</v>
      </c>
      <c r="H687" s="2" t="str">
        <f>_xlfn.XLOOKUP(orders!C687,customers!$A$2:$A$1001,customers!$G$2:$G$1001,0)</f>
        <v>United States</v>
      </c>
      <c r="I687" t="str">
        <f>INDEX(products!$A$1:$G$49,MATCH(orders!$D687,products!$A$1:$A$49,0),MATCH($I$1,products!$A$1:$G$1,0))</f>
        <v>Lib</v>
      </c>
      <c r="J687" t="str">
        <f>INDEX(products!$A$1:$G$49,MATCH(orders!$D687,products!$A$1:$A$49,0),MATCH($J$1,products!$A$1:$G$1,0))</f>
        <v>L</v>
      </c>
      <c r="K687" s="1">
        <f>INDEX(products!$A$1:$G$49,MATCH(orders!$D687,products!$A$1:$A$49,0),MATCH($K$1,products!$A$1:$G$1,0))</f>
        <v>2.5</v>
      </c>
      <c r="L687">
        <f>INDEX(products!$A$1:$G$49,MATCH(orders!$D687,products!$A$1:$A$49,0),MATCH($L$1,products!$A$1:$G$1,0))</f>
        <v>36.454999999999998</v>
      </c>
      <c r="M687">
        <f t="shared" si="31"/>
        <v>72.91</v>
      </c>
      <c r="N687" t="str">
        <f t="shared" si="32"/>
        <v>Liberica</v>
      </c>
      <c r="O687" t="str">
        <f t="shared" si="33"/>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_xlfn.XLOOKUP(C688,customers!$A$2:$A$1001,customers!$B$2:$B$1001,0)</f>
        <v>Deonne Shortall</v>
      </c>
      <c r="G688" s="2" t="str">
        <f>_xlfn.XLOOKUP(C688,customers!$A$2:$A$1001,customers!$C$2:$C$1001,0)</f>
        <v>dshortallj2@wikipedia.org</v>
      </c>
      <c r="H688" s="2" t="str">
        <f>_xlfn.XLOOKUP(orders!C688,customers!$A$2:$A$1001,customers!$G$2:$G$1001,0)</f>
        <v>United States</v>
      </c>
      <c r="I688" t="str">
        <f>INDEX(products!$A$1:$G$49,MATCH(orders!$D688,products!$A$1:$A$49,0),MATCH($I$1,products!$A$1:$G$1,0))</f>
        <v>Rob</v>
      </c>
      <c r="J688" t="str">
        <f>INDEX(products!$A$1:$G$49,MATCH(orders!$D688,products!$A$1:$A$49,0),MATCH($J$1,products!$A$1:$G$1,0))</f>
        <v>D</v>
      </c>
      <c r="K688" s="1">
        <f>INDEX(products!$A$1:$G$49,MATCH(orders!$D688,products!$A$1:$A$49,0),MATCH($K$1,products!$A$1:$G$1,0))</f>
        <v>0.2</v>
      </c>
      <c r="L688">
        <f>INDEX(products!$A$1:$G$49,MATCH(orders!$D688,products!$A$1:$A$49,0),MATCH($L$1,products!$A$1:$G$1,0))</f>
        <v>2.6849999999999996</v>
      </c>
      <c r="M688">
        <f t="shared" si="31"/>
        <v>8.0549999999999997</v>
      </c>
      <c r="N688" t="str">
        <f t="shared" si="32"/>
        <v>Robusta</v>
      </c>
      <c r="O688" t="str">
        <f t="shared" si="33"/>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_xlfn.XLOOKUP(C689,customers!$A$2:$A$1001,customers!$B$2:$B$1001,0)</f>
        <v>Wilton Cottier</v>
      </c>
      <c r="G689" s="2" t="str">
        <f>_xlfn.XLOOKUP(C689,customers!$A$2:$A$1001,customers!$C$2:$C$1001,0)</f>
        <v>wcottierj3@cafepress.com</v>
      </c>
      <c r="H689" s="2" t="str">
        <f>_xlfn.XLOOKUP(orders!C689,customers!$A$2:$A$1001,customers!$G$2:$G$1001,0)</f>
        <v>United States</v>
      </c>
      <c r="I689" t="str">
        <f>INDEX(products!$A$1:$G$49,MATCH(orders!$D689,products!$A$1:$A$49,0),MATCH($I$1,products!$A$1:$G$1,0))</f>
        <v>Exc</v>
      </c>
      <c r="J689" t="str">
        <f>INDEX(products!$A$1:$G$49,MATCH(orders!$D689,products!$A$1:$A$49,0),MATCH($J$1,products!$A$1:$G$1,0))</f>
        <v>M</v>
      </c>
      <c r="K689" s="1">
        <f>INDEX(products!$A$1:$G$49,MATCH(orders!$D689,products!$A$1:$A$49,0),MATCH($K$1,products!$A$1:$G$1,0))</f>
        <v>0.5</v>
      </c>
      <c r="L689">
        <f>INDEX(products!$A$1:$G$49,MATCH(orders!$D689,products!$A$1:$A$49,0),MATCH($L$1,products!$A$1:$G$1,0))</f>
        <v>8.25</v>
      </c>
      <c r="M689">
        <f t="shared" si="31"/>
        <v>16.5</v>
      </c>
      <c r="N689" t="str">
        <f t="shared" si="32"/>
        <v>Excelsa</v>
      </c>
      <c r="O689" t="str">
        <f t="shared" si="33"/>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_xlfn.XLOOKUP(C690,customers!$A$2:$A$1001,customers!$B$2:$B$1001,0)</f>
        <v>Kevan Grinsted</v>
      </c>
      <c r="G690" s="2" t="str">
        <f>_xlfn.XLOOKUP(C690,customers!$A$2:$A$1001,customers!$C$2:$C$1001,0)</f>
        <v>kgrinstedj4@google.com.br</v>
      </c>
      <c r="H690" s="2" t="str">
        <f>_xlfn.XLOOKUP(orders!C690,customers!$A$2:$A$1001,customers!$G$2:$G$1001,0)</f>
        <v>Ireland</v>
      </c>
      <c r="I690" t="str">
        <f>INDEX(products!$A$1:$G$49,MATCH(orders!$D690,products!$A$1:$A$49,0),MATCH($I$1,products!$A$1:$G$1,0))</f>
        <v>Ara</v>
      </c>
      <c r="J690" t="str">
        <f>INDEX(products!$A$1:$G$49,MATCH(orders!$D690,products!$A$1:$A$49,0),MATCH($J$1,products!$A$1:$G$1,0))</f>
        <v>L</v>
      </c>
      <c r="K690" s="1">
        <f>INDEX(products!$A$1:$G$49,MATCH(orders!$D690,products!$A$1:$A$49,0),MATCH($K$1,products!$A$1:$G$1,0))</f>
        <v>1</v>
      </c>
      <c r="L690">
        <f>INDEX(products!$A$1:$G$49,MATCH(orders!$D690,products!$A$1:$A$49,0),MATCH($L$1,products!$A$1:$G$1,0))</f>
        <v>12.95</v>
      </c>
      <c r="M690">
        <f t="shared" si="31"/>
        <v>64.75</v>
      </c>
      <c r="N690" t="str">
        <f t="shared" si="32"/>
        <v>Arabica</v>
      </c>
      <c r="O690" t="str">
        <f t="shared" si="33"/>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_xlfn.XLOOKUP(C691,customers!$A$2:$A$1001,customers!$B$2:$B$1001,0)</f>
        <v>Dionne Skyner</v>
      </c>
      <c r="G691" s="2" t="str">
        <f>_xlfn.XLOOKUP(C691,customers!$A$2:$A$1001,customers!$C$2:$C$1001,0)</f>
        <v>dskynerj5@hubpages.com</v>
      </c>
      <c r="H691" s="2" t="str">
        <f>_xlfn.XLOOKUP(orders!C691,customers!$A$2:$A$1001,customers!$G$2:$G$1001,0)</f>
        <v>United States</v>
      </c>
      <c r="I691" t="str">
        <f>INDEX(products!$A$1:$G$49,MATCH(orders!$D691,products!$A$1:$A$49,0),MATCH($I$1,products!$A$1:$G$1,0))</f>
        <v>Ara</v>
      </c>
      <c r="J691" t="str">
        <f>INDEX(products!$A$1:$G$49,MATCH(orders!$D691,products!$A$1:$A$49,0),MATCH($J$1,products!$A$1:$G$1,0))</f>
        <v>M</v>
      </c>
      <c r="K691" s="1">
        <f>INDEX(products!$A$1:$G$49,MATCH(orders!$D691,products!$A$1:$A$49,0),MATCH($K$1,products!$A$1:$G$1,0))</f>
        <v>0.5</v>
      </c>
      <c r="L691">
        <f>INDEX(products!$A$1:$G$49,MATCH(orders!$D691,products!$A$1:$A$49,0),MATCH($L$1,products!$A$1:$G$1,0))</f>
        <v>6.75</v>
      </c>
      <c r="M691">
        <f t="shared" si="31"/>
        <v>33.75</v>
      </c>
      <c r="N691" t="str">
        <f t="shared" si="32"/>
        <v>Arabica</v>
      </c>
      <c r="O691" t="str">
        <f t="shared" si="33"/>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_xlfn.XLOOKUP(C692,customers!$A$2:$A$1001,customers!$B$2:$B$1001,0)</f>
        <v>Francesco Dressel</v>
      </c>
      <c r="G692" s="2">
        <f>_xlfn.XLOOKUP(C692,customers!$A$2:$A$1001,customers!$C$2:$C$1001,0)</f>
        <v>0</v>
      </c>
      <c r="H692" s="2" t="str">
        <f>_xlfn.XLOOKUP(orders!C692,customers!$A$2:$A$1001,customers!$G$2:$G$1001,0)</f>
        <v>United States</v>
      </c>
      <c r="I692" t="str">
        <f>INDEX(products!$A$1:$G$49,MATCH(orders!$D692,products!$A$1:$A$49,0),MATCH($I$1,products!$A$1:$G$1,0))</f>
        <v>Lib</v>
      </c>
      <c r="J692" t="str">
        <f>INDEX(products!$A$1:$G$49,MATCH(orders!$D692,products!$A$1:$A$49,0),MATCH($J$1,products!$A$1:$G$1,0))</f>
        <v>D</v>
      </c>
      <c r="K692" s="1">
        <f>INDEX(products!$A$1:$G$49,MATCH(orders!$D692,products!$A$1:$A$49,0),MATCH($K$1,products!$A$1:$G$1,0))</f>
        <v>2.5</v>
      </c>
      <c r="L692">
        <f>INDEX(products!$A$1:$G$49,MATCH(orders!$D692,products!$A$1:$A$49,0),MATCH($L$1,products!$A$1:$G$1,0))</f>
        <v>29.784999999999997</v>
      </c>
      <c r="M692">
        <f t="shared" si="31"/>
        <v>178.70999999999998</v>
      </c>
      <c r="N692" t="str">
        <f t="shared" si="32"/>
        <v>Liberica</v>
      </c>
      <c r="O692" t="str">
        <f t="shared" si="33"/>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_xlfn.XLOOKUP(C693,customers!$A$2:$A$1001,customers!$B$2:$B$1001,0)</f>
        <v>Jimmy Dymoke</v>
      </c>
      <c r="G693" s="2" t="str">
        <f>_xlfn.XLOOKUP(C693,customers!$A$2:$A$1001,customers!$C$2:$C$1001,0)</f>
        <v>jdymokeje@prnewswire.com</v>
      </c>
      <c r="H693" s="2" t="str">
        <f>_xlfn.XLOOKUP(orders!C693,customers!$A$2:$A$1001,customers!$G$2:$G$1001,0)</f>
        <v>Ireland</v>
      </c>
      <c r="I693" t="str">
        <f>INDEX(products!$A$1:$G$49,MATCH(orders!$D693,products!$A$1:$A$49,0),MATCH($I$1,products!$A$1:$G$1,0))</f>
        <v>Ara</v>
      </c>
      <c r="J693" t="str">
        <f>INDEX(products!$A$1:$G$49,MATCH(orders!$D693,products!$A$1:$A$49,0),MATCH($J$1,products!$A$1:$G$1,0))</f>
        <v>M</v>
      </c>
      <c r="K693" s="1">
        <f>INDEX(products!$A$1:$G$49,MATCH(orders!$D693,products!$A$1:$A$49,0),MATCH($K$1,products!$A$1:$G$1,0))</f>
        <v>1</v>
      </c>
      <c r="L693">
        <f>INDEX(products!$A$1:$G$49,MATCH(orders!$D693,products!$A$1:$A$49,0),MATCH($L$1,products!$A$1:$G$1,0))</f>
        <v>11.25</v>
      </c>
      <c r="M693">
        <f t="shared" si="31"/>
        <v>22.5</v>
      </c>
      <c r="N693" t="str">
        <f t="shared" si="32"/>
        <v>Arabica</v>
      </c>
      <c r="O693" t="str">
        <f t="shared" si="33"/>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_xlfn.XLOOKUP(C694,customers!$A$2:$A$1001,customers!$B$2:$B$1001,0)</f>
        <v>Ambrosio Weinmann</v>
      </c>
      <c r="G694" s="2" t="str">
        <f>_xlfn.XLOOKUP(C694,customers!$A$2:$A$1001,customers!$C$2:$C$1001,0)</f>
        <v>aweinmannj8@shinystat.com</v>
      </c>
      <c r="H694" s="2" t="str">
        <f>_xlfn.XLOOKUP(orders!C694,customers!$A$2:$A$1001,customers!$G$2:$G$1001,0)</f>
        <v>United States</v>
      </c>
      <c r="I694" t="str">
        <f>INDEX(products!$A$1:$G$49,MATCH(orders!$D694,products!$A$1:$A$49,0),MATCH($I$1,products!$A$1:$G$1,0))</f>
        <v>Lib</v>
      </c>
      <c r="J694" t="str">
        <f>INDEX(products!$A$1:$G$49,MATCH(orders!$D694,products!$A$1:$A$49,0),MATCH($J$1,products!$A$1:$G$1,0))</f>
        <v>D</v>
      </c>
      <c r="K694" s="1">
        <f>INDEX(products!$A$1:$G$49,MATCH(orders!$D694,products!$A$1:$A$49,0),MATCH($K$1,products!$A$1:$G$1,0))</f>
        <v>1</v>
      </c>
      <c r="L694">
        <f>INDEX(products!$A$1:$G$49,MATCH(orders!$D694,products!$A$1:$A$49,0),MATCH($L$1,products!$A$1:$G$1,0))</f>
        <v>12.95</v>
      </c>
      <c r="M694">
        <f t="shared" si="31"/>
        <v>12.95</v>
      </c>
      <c r="N694" t="str">
        <f t="shared" si="32"/>
        <v>Liberica</v>
      </c>
      <c r="O694" t="str">
        <f t="shared" si="33"/>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_xlfn.XLOOKUP(C695,customers!$A$2:$A$1001,customers!$B$2:$B$1001,0)</f>
        <v>Elden Andriessen</v>
      </c>
      <c r="G695" s="2" t="str">
        <f>_xlfn.XLOOKUP(C695,customers!$A$2:$A$1001,customers!$C$2:$C$1001,0)</f>
        <v>eandriessenj9@europa.eu</v>
      </c>
      <c r="H695" s="2" t="str">
        <f>_xlfn.XLOOKUP(orders!C695,customers!$A$2:$A$1001,customers!$G$2:$G$1001,0)</f>
        <v>United States</v>
      </c>
      <c r="I695" t="str">
        <f>INDEX(products!$A$1:$G$49,MATCH(orders!$D695,products!$A$1:$A$49,0),MATCH($I$1,products!$A$1:$G$1,0))</f>
        <v>Ara</v>
      </c>
      <c r="J695" t="str">
        <f>INDEX(products!$A$1:$G$49,MATCH(orders!$D695,products!$A$1:$A$49,0),MATCH($J$1,products!$A$1:$G$1,0))</f>
        <v>M</v>
      </c>
      <c r="K695" s="1">
        <f>INDEX(products!$A$1:$G$49,MATCH(orders!$D695,products!$A$1:$A$49,0),MATCH($K$1,products!$A$1:$G$1,0))</f>
        <v>2.5</v>
      </c>
      <c r="L695">
        <f>INDEX(products!$A$1:$G$49,MATCH(orders!$D695,products!$A$1:$A$49,0),MATCH($L$1,products!$A$1:$G$1,0))</f>
        <v>25.874999999999996</v>
      </c>
      <c r="M695">
        <f t="shared" si="31"/>
        <v>51.749999999999993</v>
      </c>
      <c r="N695" t="str">
        <f t="shared" si="32"/>
        <v>Arabica</v>
      </c>
      <c r="O695" t="str">
        <f t="shared" si="33"/>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_xlfn.XLOOKUP(C696,customers!$A$2:$A$1001,customers!$B$2:$B$1001,0)</f>
        <v>Roxie Deaconson</v>
      </c>
      <c r="G696" s="2" t="str">
        <f>_xlfn.XLOOKUP(C696,customers!$A$2:$A$1001,customers!$C$2:$C$1001,0)</f>
        <v>rdeaconsonja@archive.org</v>
      </c>
      <c r="H696" s="2" t="str">
        <f>_xlfn.XLOOKUP(orders!C696,customers!$A$2:$A$1001,customers!$G$2:$G$1001,0)</f>
        <v>United States</v>
      </c>
      <c r="I696" t="str">
        <f>INDEX(products!$A$1:$G$49,MATCH(orders!$D696,products!$A$1:$A$49,0),MATCH($I$1,products!$A$1:$G$1,0))</f>
        <v>Exc</v>
      </c>
      <c r="J696" t="str">
        <f>INDEX(products!$A$1:$G$49,MATCH(orders!$D696,products!$A$1:$A$49,0),MATCH($J$1,products!$A$1:$G$1,0))</f>
        <v>D</v>
      </c>
      <c r="K696" s="1">
        <f>INDEX(products!$A$1:$G$49,MATCH(orders!$D696,products!$A$1:$A$49,0),MATCH($K$1,products!$A$1:$G$1,0))</f>
        <v>0.5</v>
      </c>
      <c r="L696">
        <f>INDEX(products!$A$1:$G$49,MATCH(orders!$D696,products!$A$1:$A$49,0),MATCH($L$1,products!$A$1:$G$1,0))</f>
        <v>7.29</v>
      </c>
      <c r="M696">
        <f t="shared" si="31"/>
        <v>36.450000000000003</v>
      </c>
      <c r="N696" t="str">
        <f t="shared" si="32"/>
        <v>Excelsa</v>
      </c>
      <c r="O696" t="str">
        <f t="shared" si="33"/>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_xlfn.XLOOKUP(C697,customers!$A$2:$A$1001,customers!$B$2:$B$1001,0)</f>
        <v>Davida Caro</v>
      </c>
      <c r="G697" s="2" t="str">
        <f>_xlfn.XLOOKUP(C697,customers!$A$2:$A$1001,customers!$C$2:$C$1001,0)</f>
        <v>dcarojb@twitter.com</v>
      </c>
      <c r="H697" s="2" t="str">
        <f>_xlfn.XLOOKUP(orders!C697,customers!$A$2:$A$1001,customers!$G$2:$G$1001,0)</f>
        <v>United States</v>
      </c>
      <c r="I697" t="str">
        <f>INDEX(products!$A$1:$G$49,MATCH(orders!$D697,products!$A$1:$A$49,0),MATCH($I$1,products!$A$1:$G$1,0))</f>
        <v>Lib</v>
      </c>
      <c r="J697" t="str">
        <f>INDEX(products!$A$1:$G$49,MATCH(orders!$D697,products!$A$1:$A$49,0),MATCH($J$1,products!$A$1:$G$1,0))</f>
        <v>L</v>
      </c>
      <c r="K697" s="1">
        <f>INDEX(products!$A$1:$G$49,MATCH(orders!$D697,products!$A$1:$A$49,0),MATCH($K$1,products!$A$1:$G$1,0))</f>
        <v>2.5</v>
      </c>
      <c r="L697">
        <f>INDEX(products!$A$1:$G$49,MATCH(orders!$D697,products!$A$1:$A$49,0),MATCH($L$1,products!$A$1:$G$1,0))</f>
        <v>36.454999999999998</v>
      </c>
      <c r="M697">
        <f t="shared" si="31"/>
        <v>182.27499999999998</v>
      </c>
      <c r="N697" t="str">
        <f t="shared" si="32"/>
        <v>Liberica</v>
      </c>
      <c r="O697" t="str">
        <f t="shared" si="33"/>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_xlfn.XLOOKUP(C698,customers!$A$2:$A$1001,customers!$B$2:$B$1001,0)</f>
        <v>Johna Bluck</v>
      </c>
      <c r="G698" s="2" t="str">
        <f>_xlfn.XLOOKUP(C698,customers!$A$2:$A$1001,customers!$C$2:$C$1001,0)</f>
        <v>jbluckjc@imageshack.us</v>
      </c>
      <c r="H698" s="2" t="str">
        <f>_xlfn.XLOOKUP(orders!C698,customers!$A$2:$A$1001,customers!$G$2:$G$1001,0)</f>
        <v>United States</v>
      </c>
      <c r="I698" t="str">
        <f>INDEX(products!$A$1:$G$49,MATCH(orders!$D698,products!$A$1:$A$49,0),MATCH($I$1,products!$A$1:$G$1,0))</f>
        <v>Lib</v>
      </c>
      <c r="J698" t="str">
        <f>INDEX(products!$A$1:$G$49,MATCH(orders!$D698,products!$A$1:$A$49,0),MATCH($J$1,products!$A$1:$G$1,0))</f>
        <v>D</v>
      </c>
      <c r="K698" s="1">
        <f>INDEX(products!$A$1:$G$49,MATCH(orders!$D698,products!$A$1:$A$49,0),MATCH($K$1,products!$A$1:$G$1,0))</f>
        <v>0.5</v>
      </c>
      <c r="L698">
        <f>INDEX(products!$A$1:$G$49,MATCH(orders!$D698,products!$A$1:$A$49,0),MATCH($L$1,products!$A$1:$G$1,0))</f>
        <v>7.77</v>
      </c>
      <c r="M698">
        <f t="shared" si="31"/>
        <v>31.08</v>
      </c>
      <c r="N698" t="str">
        <f t="shared" si="32"/>
        <v>Liberica</v>
      </c>
      <c r="O698" t="str">
        <f t="shared" si="33"/>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_xlfn.XLOOKUP(C699,customers!$A$2:$A$1001,customers!$B$2:$B$1001,0)</f>
        <v>Myrle Dearden</v>
      </c>
      <c r="G699" s="2">
        <f>_xlfn.XLOOKUP(C699,customers!$A$2:$A$1001,customers!$C$2:$C$1001,0)</f>
        <v>0</v>
      </c>
      <c r="H699" s="2" t="str">
        <f>_xlfn.XLOOKUP(orders!C699,customers!$A$2:$A$1001,customers!$G$2:$G$1001,0)</f>
        <v>Ireland</v>
      </c>
      <c r="I699" t="str">
        <f>INDEX(products!$A$1:$G$49,MATCH(orders!$D699,products!$A$1:$A$49,0),MATCH($I$1,products!$A$1:$G$1,0))</f>
        <v>Ara</v>
      </c>
      <c r="J699" t="str">
        <f>INDEX(products!$A$1:$G$49,MATCH(orders!$D699,products!$A$1:$A$49,0),MATCH($J$1,products!$A$1:$G$1,0))</f>
        <v>M</v>
      </c>
      <c r="K699" s="1">
        <f>INDEX(products!$A$1:$G$49,MATCH(orders!$D699,products!$A$1:$A$49,0),MATCH($K$1,products!$A$1:$G$1,0))</f>
        <v>0.5</v>
      </c>
      <c r="L699">
        <f>INDEX(products!$A$1:$G$49,MATCH(orders!$D699,products!$A$1:$A$49,0),MATCH($L$1,products!$A$1:$G$1,0))</f>
        <v>6.75</v>
      </c>
      <c r="M699">
        <f t="shared" si="31"/>
        <v>20.25</v>
      </c>
      <c r="N699" t="str">
        <f t="shared" si="32"/>
        <v>Arabica</v>
      </c>
      <c r="O699" t="str">
        <f t="shared" si="33"/>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_xlfn.XLOOKUP(C700,customers!$A$2:$A$1001,customers!$B$2:$B$1001,0)</f>
        <v>Jimmy Dymoke</v>
      </c>
      <c r="G700" s="2" t="str">
        <f>_xlfn.XLOOKUP(C700,customers!$A$2:$A$1001,customers!$C$2:$C$1001,0)</f>
        <v>jdymokeje@prnewswire.com</v>
      </c>
      <c r="H700" s="2" t="str">
        <f>_xlfn.XLOOKUP(orders!C700,customers!$A$2:$A$1001,customers!$G$2:$G$1001,0)</f>
        <v>Ireland</v>
      </c>
      <c r="I700" t="str">
        <f>INDEX(products!$A$1:$G$49,MATCH(orders!$D700,products!$A$1:$A$49,0),MATCH($I$1,products!$A$1:$G$1,0))</f>
        <v>Lib</v>
      </c>
      <c r="J700" t="str">
        <f>INDEX(products!$A$1:$G$49,MATCH(orders!$D700,products!$A$1:$A$49,0),MATCH($J$1,products!$A$1:$G$1,0))</f>
        <v>D</v>
      </c>
      <c r="K700" s="1">
        <f>INDEX(products!$A$1:$G$49,MATCH(orders!$D700,products!$A$1:$A$49,0),MATCH($K$1,products!$A$1:$G$1,0))</f>
        <v>1</v>
      </c>
      <c r="L700">
        <f>INDEX(products!$A$1:$G$49,MATCH(orders!$D700,products!$A$1:$A$49,0),MATCH($L$1,products!$A$1:$G$1,0))</f>
        <v>12.95</v>
      </c>
      <c r="M700">
        <f t="shared" si="31"/>
        <v>25.9</v>
      </c>
      <c r="N700" t="str">
        <f t="shared" si="32"/>
        <v>Liberica</v>
      </c>
      <c r="O700" t="str">
        <f t="shared" si="33"/>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_xlfn.XLOOKUP(C701,customers!$A$2:$A$1001,customers!$B$2:$B$1001,0)</f>
        <v>Orland Tadman</v>
      </c>
      <c r="G701" s="2" t="str">
        <f>_xlfn.XLOOKUP(C701,customers!$A$2:$A$1001,customers!$C$2:$C$1001,0)</f>
        <v>otadmanjf@ft.com</v>
      </c>
      <c r="H701" s="2" t="str">
        <f>_xlfn.XLOOKUP(orders!C701,customers!$A$2:$A$1001,customers!$G$2:$G$1001,0)</f>
        <v>United States</v>
      </c>
      <c r="I701" t="str">
        <f>INDEX(products!$A$1:$G$49,MATCH(orders!$D701,products!$A$1:$A$49,0),MATCH($I$1,products!$A$1:$G$1,0))</f>
        <v>Ara</v>
      </c>
      <c r="J701" t="str">
        <f>INDEX(products!$A$1:$G$49,MATCH(orders!$D701,products!$A$1:$A$49,0),MATCH($J$1,products!$A$1:$G$1,0))</f>
        <v>D</v>
      </c>
      <c r="K701" s="1">
        <f>INDEX(products!$A$1:$G$49,MATCH(orders!$D701,products!$A$1:$A$49,0),MATCH($K$1,products!$A$1:$G$1,0))</f>
        <v>0.5</v>
      </c>
      <c r="L701">
        <f>INDEX(products!$A$1:$G$49,MATCH(orders!$D701,products!$A$1:$A$49,0),MATCH($L$1,products!$A$1:$G$1,0))</f>
        <v>5.97</v>
      </c>
      <c r="M701">
        <f t="shared" si="31"/>
        <v>23.88</v>
      </c>
      <c r="N701" t="str">
        <f t="shared" si="32"/>
        <v>Arabica</v>
      </c>
      <c r="O701" t="str">
        <f t="shared" si="33"/>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_xlfn.XLOOKUP(C702,customers!$A$2:$A$1001,customers!$B$2:$B$1001,0)</f>
        <v>Barrett Gudde</v>
      </c>
      <c r="G702" s="2" t="str">
        <f>_xlfn.XLOOKUP(C702,customers!$A$2:$A$1001,customers!$C$2:$C$1001,0)</f>
        <v>bguddejg@dailymotion.com</v>
      </c>
      <c r="H702" s="2" t="str">
        <f>_xlfn.XLOOKUP(orders!C702,customers!$A$2:$A$1001,customers!$G$2:$G$1001,0)</f>
        <v>United States</v>
      </c>
      <c r="I702" t="str">
        <f>INDEX(products!$A$1:$G$49,MATCH(orders!$D702,products!$A$1:$A$49,0),MATCH($I$1,products!$A$1:$G$1,0))</f>
        <v>Lib</v>
      </c>
      <c r="J702" t="str">
        <f>INDEX(products!$A$1:$G$49,MATCH(orders!$D702,products!$A$1:$A$49,0),MATCH($J$1,products!$A$1:$G$1,0))</f>
        <v>L</v>
      </c>
      <c r="K702" s="1">
        <f>INDEX(products!$A$1:$G$49,MATCH(orders!$D702,products!$A$1:$A$49,0),MATCH($K$1,products!$A$1:$G$1,0))</f>
        <v>0.5</v>
      </c>
      <c r="L702">
        <f>INDEX(products!$A$1:$G$49,MATCH(orders!$D702,products!$A$1:$A$49,0),MATCH($L$1,products!$A$1:$G$1,0))</f>
        <v>9.51</v>
      </c>
      <c r="M702">
        <f t="shared" si="31"/>
        <v>19.02</v>
      </c>
      <c r="N702" t="str">
        <f t="shared" si="32"/>
        <v>Liberica</v>
      </c>
      <c r="O702" t="str">
        <f t="shared" si="33"/>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_xlfn.XLOOKUP(C703,customers!$A$2:$A$1001,customers!$B$2:$B$1001,0)</f>
        <v>Nathan Sictornes</v>
      </c>
      <c r="G703" s="2" t="str">
        <f>_xlfn.XLOOKUP(C703,customers!$A$2:$A$1001,customers!$C$2:$C$1001,0)</f>
        <v>nsictornesjh@buzzfeed.com</v>
      </c>
      <c r="H703" s="2" t="str">
        <f>_xlfn.XLOOKUP(orders!C703,customers!$A$2:$A$1001,customers!$G$2:$G$1001,0)</f>
        <v>Ireland</v>
      </c>
      <c r="I703" t="str">
        <f>INDEX(products!$A$1:$G$49,MATCH(orders!$D703,products!$A$1:$A$49,0),MATCH($I$1,products!$A$1:$G$1,0))</f>
        <v>Ara</v>
      </c>
      <c r="J703" t="str">
        <f>INDEX(products!$A$1:$G$49,MATCH(orders!$D703,products!$A$1:$A$49,0),MATCH($J$1,products!$A$1:$G$1,0))</f>
        <v>D</v>
      </c>
      <c r="K703" s="1">
        <f>INDEX(products!$A$1:$G$49,MATCH(orders!$D703,products!$A$1:$A$49,0),MATCH($K$1,products!$A$1:$G$1,0))</f>
        <v>0.5</v>
      </c>
      <c r="L703">
        <f>INDEX(products!$A$1:$G$49,MATCH(orders!$D703,products!$A$1:$A$49,0),MATCH($L$1,products!$A$1:$G$1,0))</f>
        <v>5.97</v>
      </c>
      <c r="M703">
        <f t="shared" si="31"/>
        <v>29.849999999999998</v>
      </c>
      <c r="N703" t="str">
        <f t="shared" si="32"/>
        <v>Arabica</v>
      </c>
      <c r="O703" t="str">
        <f t="shared" si="33"/>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_xlfn.XLOOKUP(C704,customers!$A$2:$A$1001,customers!$B$2:$B$1001,0)</f>
        <v>Vivyan Dunning</v>
      </c>
      <c r="G704" s="2" t="str">
        <f>_xlfn.XLOOKUP(C704,customers!$A$2:$A$1001,customers!$C$2:$C$1001,0)</f>
        <v>vdunningji@independent.co.uk</v>
      </c>
      <c r="H704" s="2" t="str">
        <f>_xlfn.XLOOKUP(orders!C704,customers!$A$2:$A$1001,customers!$G$2:$G$1001,0)</f>
        <v>United States</v>
      </c>
      <c r="I704" t="str">
        <f>INDEX(products!$A$1:$G$49,MATCH(orders!$D704,products!$A$1:$A$49,0),MATCH($I$1,products!$A$1:$G$1,0))</f>
        <v>Ara</v>
      </c>
      <c r="J704" t="str">
        <f>INDEX(products!$A$1:$G$49,MATCH(orders!$D704,products!$A$1:$A$49,0),MATCH($J$1,products!$A$1:$G$1,0))</f>
        <v>L</v>
      </c>
      <c r="K704" s="1">
        <f>INDEX(products!$A$1:$G$49,MATCH(orders!$D704,products!$A$1:$A$49,0),MATCH($K$1,products!$A$1:$G$1,0))</f>
        <v>0.5</v>
      </c>
      <c r="L704">
        <f>INDEX(products!$A$1:$G$49,MATCH(orders!$D704,products!$A$1:$A$49,0),MATCH($L$1,products!$A$1:$G$1,0))</f>
        <v>7.77</v>
      </c>
      <c r="M704">
        <f t="shared" si="31"/>
        <v>7.77</v>
      </c>
      <c r="N704" t="str">
        <f t="shared" si="32"/>
        <v>Arabica</v>
      </c>
      <c r="O704" t="str">
        <f t="shared" si="33"/>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_xlfn.XLOOKUP(C705,customers!$A$2:$A$1001,customers!$B$2:$B$1001,0)</f>
        <v>Doralin Baison</v>
      </c>
      <c r="G705" s="2">
        <f>_xlfn.XLOOKUP(C705,customers!$A$2:$A$1001,customers!$C$2:$C$1001,0)</f>
        <v>0</v>
      </c>
      <c r="H705" s="2" t="str">
        <f>_xlfn.XLOOKUP(orders!C705,customers!$A$2:$A$1001,customers!$G$2:$G$1001,0)</f>
        <v>Ireland</v>
      </c>
      <c r="I705" t="str">
        <f>INDEX(products!$A$1:$G$49,MATCH(orders!$D705,products!$A$1:$A$49,0),MATCH($I$1,products!$A$1:$G$1,0))</f>
        <v>Lib</v>
      </c>
      <c r="J705" t="str">
        <f>INDEX(products!$A$1:$G$49,MATCH(orders!$D705,products!$A$1:$A$49,0),MATCH($J$1,products!$A$1:$G$1,0))</f>
        <v>D</v>
      </c>
      <c r="K705" s="1">
        <f>INDEX(products!$A$1:$G$49,MATCH(orders!$D705,products!$A$1:$A$49,0),MATCH($K$1,products!$A$1:$G$1,0))</f>
        <v>2.5</v>
      </c>
      <c r="L705">
        <f>INDEX(products!$A$1:$G$49,MATCH(orders!$D705,products!$A$1:$A$49,0),MATCH($L$1,products!$A$1:$G$1,0))</f>
        <v>29.784999999999997</v>
      </c>
      <c r="M705">
        <f t="shared" si="31"/>
        <v>119.13999999999999</v>
      </c>
      <c r="N705" t="str">
        <f t="shared" si="32"/>
        <v>Liberica</v>
      </c>
      <c r="O705" t="str">
        <f t="shared" si="33"/>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_xlfn.XLOOKUP(C706,customers!$A$2:$A$1001,customers!$B$2:$B$1001,0)</f>
        <v>Josefina Ferens</v>
      </c>
      <c r="G706" s="2">
        <f>_xlfn.XLOOKUP(C706,customers!$A$2:$A$1001,customers!$C$2:$C$1001,0)</f>
        <v>0</v>
      </c>
      <c r="H706" s="2" t="str">
        <f>_xlfn.XLOOKUP(orders!C706,customers!$A$2:$A$1001,customers!$G$2:$G$1001,0)</f>
        <v>United States</v>
      </c>
      <c r="I706" t="str">
        <f>INDEX(products!$A$1:$G$49,MATCH(orders!$D706,products!$A$1:$A$49,0),MATCH($I$1,products!$A$1:$G$1,0))</f>
        <v>Exc</v>
      </c>
      <c r="J706" t="str">
        <f>INDEX(products!$A$1:$G$49,MATCH(orders!$D706,products!$A$1:$A$49,0),MATCH($J$1,products!$A$1:$G$1,0))</f>
        <v>D</v>
      </c>
      <c r="K706" s="1">
        <f>INDEX(products!$A$1:$G$49,MATCH(orders!$D706,products!$A$1:$A$49,0),MATCH($K$1,products!$A$1:$G$1,0))</f>
        <v>0.2</v>
      </c>
      <c r="L706">
        <f>INDEX(products!$A$1:$G$49,MATCH(orders!$D706,products!$A$1:$A$49,0),MATCH($L$1,products!$A$1:$G$1,0))</f>
        <v>3.645</v>
      </c>
      <c r="M706">
        <f t="shared" si="31"/>
        <v>21.87</v>
      </c>
      <c r="N706" t="str">
        <f t="shared" si="32"/>
        <v>Excelsa</v>
      </c>
      <c r="O706" t="str">
        <f t="shared" si="33"/>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_xlfn.XLOOKUP(C707,customers!$A$2:$A$1001,customers!$B$2:$B$1001,0)</f>
        <v>Shelley Gehring</v>
      </c>
      <c r="G707" s="2" t="str">
        <f>_xlfn.XLOOKUP(C707,customers!$A$2:$A$1001,customers!$C$2:$C$1001,0)</f>
        <v>sgehringjl@gnu.org</v>
      </c>
      <c r="H707" s="2" t="str">
        <f>_xlfn.XLOOKUP(orders!C707,customers!$A$2:$A$1001,customers!$G$2:$G$1001,0)</f>
        <v>United States</v>
      </c>
      <c r="I707" t="str">
        <f>INDEX(products!$A$1:$G$49,MATCH(orders!$D707,products!$A$1:$A$49,0),MATCH($I$1,products!$A$1:$G$1,0))</f>
        <v>Exc</v>
      </c>
      <c r="J707" t="str">
        <f>INDEX(products!$A$1:$G$49,MATCH(orders!$D707,products!$A$1:$A$49,0),MATCH($J$1,products!$A$1:$G$1,0))</f>
        <v>L</v>
      </c>
      <c r="K707" s="1">
        <f>INDEX(products!$A$1:$G$49,MATCH(orders!$D707,products!$A$1:$A$49,0),MATCH($K$1,products!$A$1:$G$1,0))</f>
        <v>0.5</v>
      </c>
      <c r="L707">
        <f>INDEX(products!$A$1:$G$49,MATCH(orders!$D707,products!$A$1:$A$49,0),MATCH($L$1,products!$A$1:$G$1,0))</f>
        <v>8.91</v>
      </c>
      <c r="M707">
        <f t="shared" ref="M707:M770" si="34">L707*E707</f>
        <v>17.82</v>
      </c>
      <c r="N707" t="str">
        <f t="shared" ref="N707:N770" si="35">IF(I707="Rob","Robusta",IF(I707="Exc","Excelsa",IF(I707="Ara","Arabica",IF(I707="Lib","Liberica",""))))</f>
        <v>Excelsa</v>
      </c>
      <c r="O707" t="str">
        <f t="shared" ref="O707:O770" si="36">IF(J707="M", "Medium", IF(J707="L","Light", IF(J707="D", "Dark","")))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_xlfn.XLOOKUP(C708,customers!$A$2:$A$1001,customers!$B$2:$B$1001,0)</f>
        <v>Barrie Fallowes</v>
      </c>
      <c r="G708" s="2" t="str">
        <f>_xlfn.XLOOKUP(C708,customers!$A$2:$A$1001,customers!$C$2:$C$1001,0)</f>
        <v>bfallowesjm@purevolume.com</v>
      </c>
      <c r="H708" s="2" t="str">
        <f>_xlfn.XLOOKUP(orders!C708,customers!$A$2:$A$1001,customers!$G$2:$G$1001,0)</f>
        <v>United States</v>
      </c>
      <c r="I708" t="str">
        <f>INDEX(products!$A$1:$G$49,MATCH(orders!$D708,products!$A$1:$A$49,0),MATCH($I$1,products!$A$1:$G$1,0))</f>
        <v>Exc</v>
      </c>
      <c r="J708" t="str">
        <f>INDEX(products!$A$1:$G$49,MATCH(orders!$D708,products!$A$1:$A$49,0),MATCH($J$1,products!$A$1:$G$1,0))</f>
        <v>M</v>
      </c>
      <c r="K708" s="1">
        <f>INDEX(products!$A$1:$G$49,MATCH(orders!$D708,products!$A$1:$A$49,0),MATCH($K$1,products!$A$1:$G$1,0))</f>
        <v>0.2</v>
      </c>
      <c r="L708">
        <f>INDEX(products!$A$1:$G$49,MATCH(orders!$D708,products!$A$1:$A$49,0),MATCH($L$1,products!$A$1:$G$1,0))</f>
        <v>4.125</v>
      </c>
      <c r="M708">
        <f t="shared" si="34"/>
        <v>12.375</v>
      </c>
      <c r="N708" t="str">
        <f t="shared" si="35"/>
        <v>Excelsa</v>
      </c>
      <c r="O708" t="str">
        <f t="shared" si="36"/>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_xlfn.XLOOKUP(C709,customers!$A$2:$A$1001,customers!$B$2:$B$1001,0)</f>
        <v>Nicolas Aiton</v>
      </c>
      <c r="G709" s="2">
        <f>_xlfn.XLOOKUP(C709,customers!$A$2:$A$1001,customers!$C$2:$C$1001,0)</f>
        <v>0</v>
      </c>
      <c r="H709" s="2" t="str">
        <f>_xlfn.XLOOKUP(orders!C709,customers!$A$2:$A$1001,customers!$G$2:$G$1001,0)</f>
        <v>Ireland</v>
      </c>
      <c r="I709" t="str">
        <f>INDEX(products!$A$1:$G$49,MATCH(orders!$D709,products!$A$1:$A$49,0),MATCH($I$1,products!$A$1:$G$1,0))</f>
        <v>Lib</v>
      </c>
      <c r="J709" t="str">
        <f>INDEX(products!$A$1:$G$49,MATCH(orders!$D709,products!$A$1:$A$49,0),MATCH($J$1,products!$A$1:$G$1,0))</f>
        <v>D</v>
      </c>
      <c r="K709" s="1">
        <f>INDEX(products!$A$1:$G$49,MATCH(orders!$D709,products!$A$1:$A$49,0),MATCH($K$1,products!$A$1:$G$1,0))</f>
        <v>1</v>
      </c>
      <c r="L709">
        <f>INDEX(products!$A$1:$G$49,MATCH(orders!$D709,products!$A$1:$A$49,0),MATCH($L$1,products!$A$1:$G$1,0))</f>
        <v>12.95</v>
      </c>
      <c r="M709">
        <f t="shared" si="34"/>
        <v>25.9</v>
      </c>
      <c r="N709" t="str">
        <f t="shared" si="35"/>
        <v>Liberica</v>
      </c>
      <c r="O709" t="str">
        <f t="shared" si="36"/>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_xlfn.XLOOKUP(C710,customers!$A$2:$A$1001,customers!$B$2:$B$1001,0)</f>
        <v>Shelli De Banke</v>
      </c>
      <c r="G710" s="2" t="str">
        <f>_xlfn.XLOOKUP(C710,customers!$A$2:$A$1001,customers!$C$2:$C$1001,0)</f>
        <v>sdejo@newsvine.com</v>
      </c>
      <c r="H710" s="2" t="str">
        <f>_xlfn.XLOOKUP(orders!C710,customers!$A$2:$A$1001,customers!$G$2:$G$1001,0)</f>
        <v>United States</v>
      </c>
      <c r="I710" t="str">
        <f>INDEX(products!$A$1:$G$49,MATCH(orders!$D710,products!$A$1:$A$49,0),MATCH($I$1,products!$A$1:$G$1,0))</f>
        <v>Ara</v>
      </c>
      <c r="J710" t="str">
        <f>INDEX(products!$A$1:$G$49,MATCH(orders!$D710,products!$A$1:$A$49,0),MATCH($J$1,products!$A$1:$G$1,0))</f>
        <v>M</v>
      </c>
      <c r="K710" s="1">
        <f>INDEX(products!$A$1:$G$49,MATCH(orders!$D710,products!$A$1:$A$49,0),MATCH($K$1,products!$A$1:$G$1,0))</f>
        <v>0.5</v>
      </c>
      <c r="L710">
        <f>INDEX(products!$A$1:$G$49,MATCH(orders!$D710,products!$A$1:$A$49,0),MATCH($L$1,products!$A$1:$G$1,0))</f>
        <v>6.75</v>
      </c>
      <c r="M710">
        <f t="shared" si="34"/>
        <v>13.5</v>
      </c>
      <c r="N710" t="str">
        <f t="shared" si="35"/>
        <v>Arabica</v>
      </c>
      <c r="O710" t="str">
        <f t="shared" si="36"/>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_xlfn.XLOOKUP(C711,customers!$A$2:$A$1001,customers!$B$2:$B$1001,0)</f>
        <v>Lyell Murch</v>
      </c>
      <c r="G711" s="2">
        <f>_xlfn.XLOOKUP(C711,customers!$A$2:$A$1001,customers!$C$2:$C$1001,0)</f>
        <v>0</v>
      </c>
      <c r="H711" s="2" t="str">
        <f>_xlfn.XLOOKUP(orders!C711,customers!$A$2:$A$1001,customers!$G$2:$G$1001,0)</f>
        <v>United States</v>
      </c>
      <c r="I711" t="str">
        <f>INDEX(products!$A$1:$G$49,MATCH(orders!$D711,products!$A$1:$A$49,0),MATCH($I$1,products!$A$1:$G$1,0))</f>
        <v>Exc</v>
      </c>
      <c r="J711" t="str">
        <f>INDEX(products!$A$1:$G$49,MATCH(orders!$D711,products!$A$1:$A$49,0),MATCH($J$1,products!$A$1:$G$1,0))</f>
        <v>L</v>
      </c>
      <c r="K711" s="1">
        <f>INDEX(products!$A$1:$G$49,MATCH(orders!$D711,products!$A$1:$A$49,0),MATCH($K$1,products!$A$1:$G$1,0))</f>
        <v>0.5</v>
      </c>
      <c r="L711">
        <f>INDEX(products!$A$1:$G$49,MATCH(orders!$D711,products!$A$1:$A$49,0),MATCH($L$1,products!$A$1:$G$1,0))</f>
        <v>8.91</v>
      </c>
      <c r="M711">
        <f t="shared" si="34"/>
        <v>17.82</v>
      </c>
      <c r="N711" t="str">
        <f t="shared" si="35"/>
        <v>Excelsa</v>
      </c>
      <c r="O711" t="str">
        <f t="shared" si="36"/>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_xlfn.XLOOKUP(C712,customers!$A$2:$A$1001,customers!$B$2:$B$1001,0)</f>
        <v>Stearne Count</v>
      </c>
      <c r="G712" s="2" t="str">
        <f>_xlfn.XLOOKUP(C712,customers!$A$2:$A$1001,customers!$C$2:$C$1001,0)</f>
        <v>scountjq@nba.com</v>
      </c>
      <c r="H712" s="2" t="str">
        <f>_xlfn.XLOOKUP(orders!C712,customers!$A$2:$A$1001,customers!$G$2:$G$1001,0)</f>
        <v>United States</v>
      </c>
      <c r="I712" t="str">
        <f>INDEX(products!$A$1:$G$49,MATCH(orders!$D712,products!$A$1:$A$49,0),MATCH($I$1,products!$A$1:$G$1,0))</f>
        <v>Exc</v>
      </c>
      <c r="J712" t="str">
        <f>INDEX(products!$A$1:$G$49,MATCH(orders!$D712,products!$A$1:$A$49,0),MATCH($J$1,products!$A$1:$G$1,0))</f>
        <v>M</v>
      </c>
      <c r="K712" s="1">
        <f>INDEX(products!$A$1:$G$49,MATCH(orders!$D712,products!$A$1:$A$49,0),MATCH($K$1,products!$A$1:$G$1,0))</f>
        <v>0.5</v>
      </c>
      <c r="L712">
        <f>INDEX(products!$A$1:$G$49,MATCH(orders!$D712,products!$A$1:$A$49,0),MATCH($L$1,products!$A$1:$G$1,0))</f>
        <v>8.25</v>
      </c>
      <c r="M712">
        <f t="shared" si="34"/>
        <v>24.75</v>
      </c>
      <c r="N712" t="str">
        <f t="shared" si="35"/>
        <v>Excelsa</v>
      </c>
      <c r="O712" t="str">
        <f t="shared" si="36"/>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_xlfn.XLOOKUP(C713,customers!$A$2:$A$1001,customers!$B$2:$B$1001,0)</f>
        <v>Selia Ragles</v>
      </c>
      <c r="G713" s="2" t="str">
        <f>_xlfn.XLOOKUP(C713,customers!$A$2:$A$1001,customers!$C$2:$C$1001,0)</f>
        <v>sraglesjr@blogtalkradio.com</v>
      </c>
      <c r="H713" s="2" t="str">
        <f>_xlfn.XLOOKUP(orders!C713,customers!$A$2:$A$1001,customers!$G$2:$G$1001,0)</f>
        <v>United States</v>
      </c>
      <c r="I713" t="str">
        <f>INDEX(products!$A$1:$G$49,MATCH(orders!$D713,products!$A$1:$A$49,0),MATCH($I$1,products!$A$1:$G$1,0))</f>
        <v>Rob</v>
      </c>
      <c r="J713" t="str">
        <f>INDEX(products!$A$1:$G$49,MATCH(orders!$D713,products!$A$1:$A$49,0),MATCH($J$1,products!$A$1:$G$1,0))</f>
        <v>M</v>
      </c>
      <c r="K713" s="1">
        <f>INDEX(products!$A$1:$G$49,MATCH(orders!$D713,products!$A$1:$A$49,0),MATCH($K$1,products!$A$1:$G$1,0))</f>
        <v>0.2</v>
      </c>
      <c r="L713">
        <f>INDEX(products!$A$1:$G$49,MATCH(orders!$D713,products!$A$1:$A$49,0),MATCH($L$1,products!$A$1:$G$1,0))</f>
        <v>2.9849999999999999</v>
      </c>
      <c r="M713">
        <f t="shared" si="34"/>
        <v>17.91</v>
      </c>
      <c r="N713" t="str">
        <f t="shared" si="35"/>
        <v>Robusta</v>
      </c>
      <c r="O713" t="str">
        <f t="shared" si="36"/>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_xlfn.XLOOKUP(C714,customers!$A$2:$A$1001,customers!$B$2:$B$1001,0)</f>
        <v>Silas Deehan</v>
      </c>
      <c r="G714" s="2">
        <f>_xlfn.XLOOKUP(C714,customers!$A$2:$A$1001,customers!$C$2:$C$1001,0)</f>
        <v>0</v>
      </c>
      <c r="H714" s="2" t="str">
        <f>_xlfn.XLOOKUP(orders!C714,customers!$A$2:$A$1001,customers!$G$2:$G$1001,0)</f>
        <v>United Kingdom</v>
      </c>
      <c r="I714" t="str">
        <f>INDEX(products!$A$1:$G$49,MATCH(orders!$D714,products!$A$1:$A$49,0),MATCH($I$1,products!$A$1:$G$1,0))</f>
        <v>Exc</v>
      </c>
      <c r="J714" t="str">
        <f>INDEX(products!$A$1:$G$49,MATCH(orders!$D714,products!$A$1:$A$49,0),MATCH($J$1,products!$A$1:$G$1,0))</f>
        <v>M</v>
      </c>
      <c r="K714" s="1">
        <f>INDEX(products!$A$1:$G$49,MATCH(orders!$D714,products!$A$1:$A$49,0),MATCH($K$1,products!$A$1:$G$1,0))</f>
        <v>0.5</v>
      </c>
      <c r="L714">
        <f>INDEX(products!$A$1:$G$49,MATCH(orders!$D714,products!$A$1:$A$49,0),MATCH($L$1,products!$A$1:$G$1,0))</f>
        <v>8.25</v>
      </c>
      <c r="M714">
        <f t="shared" si="34"/>
        <v>16.5</v>
      </c>
      <c r="N714" t="str">
        <f t="shared" si="35"/>
        <v>Excelsa</v>
      </c>
      <c r="O714" t="str">
        <f t="shared" si="36"/>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_xlfn.XLOOKUP(C715,customers!$A$2:$A$1001,customers!$B$2:$B$1001,0)</f>
        <v>Sacha Bruun</v>
      </c>
      <c r="G715" s="2" t="str">
        <f>_xlfn.XLOOKUP(C715,customers!$A$2:$A$1001,customers!$C$2:$C$1001,0)</f>
        <v>sbruunjt@blogtalkradio.com</v>
      </c>
      <c r="H715" s="2" t="str">
        <f>_xlfn.XLOOKUP(orders!C715,customers!$A$2:$A$1001,customers!$G$2:$G$1001,0)</f>
        <v>United States</v>
      </c>
      <c r="I715" t="str">
        <f>INDEX(products!$A$1:$G$49,MATCH(orders!$D715,products!$A$1:$A$49,0),MATCH($I$1,products!$A$1:$G$1,0))</f>
        <v>Rob</v>
      </c>
      <c r="J715" t="str">
        <f>INDEX(products!$A$1:$G$49,MATCH(orders!$D715,products!$A$1:$A$49,0),MATCH($J$1,products!$A$1:$G$1,0))</f>
        <v>M</v>
      </c>
      <c r="K715" s="1">
        <f>INDEX(products!$A$1:$G$49,MATCH(orders!$D715,products!$A$1:$A$49,0),MATCH($K$1,products!$A$1:$G$1,0))</f>
        <v>0.2</v>
      </c>
      <c r="L715">
        <f>INDEX(products!$A$1:$G$49,MATCH(orders!$D715,products!$A$1:$A$49,0),MATCH($L$1,products!$A$1:$G$1,0))</f>
        <v>2.9849999999999999</v>
      </c>
      <c r="M715">
        <f t="shared" si="34"/>
        <v>2.9849999999999999</v>
      </c>
      <c r="N715" t="str">
        <f t="shared" si="35"/>
        <v>Robusta</v>
      </c>
      <c r="O715" t="str">
        <f t="shared" si="36"/>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_xlfn.XLOOKUP(C716,customers!$A$2:$A$1001,customers!$B$2:$B$1001,0)</f>
        <v>Alon Pllu</v>
      </c>
      <c r="G716" s="2" t="str">
        <f>_xlfn.XLOOKUP(C716,customers!$A$2:$A$1001,customers!$C$2:$C$1001,0)</f>
        <v>aplluju@dagondesign.com</v>
      </c>
      <c r="H716" s="2" t="str">
        <f>_xlfn.XLOOKUP(orders!C716,customers!$A$2:$A$1001,customers!$G$2:$G$1001,0)</f>
        <v>Ireland</v>
      </c>
      <c r="I716" t="str">
        <f>INDEX(products!$A$1:$G$49,MATCH(orders!$D716,products!$A$1:$A$49,0),MATCH($I$1,products!$A$1:$G$1,0))</f>
        <v>Exc</v>
      </c>
      <c r="J716" t="str">
        <f>INDEX(products!$A$1:$G$49,MATCH(orders!$D716,products!$A$1:$A$49,0),MATCH($J$1,products!$A$1:$G$1,0))</f>
        <v>D</v>
      </c>
      <c r="K716" s="1">
        <f>INDEX(products!$A$1:$G$49,MATCH(orders!$D716,products!$A$1:$A$49,0),MATCH($K$1,products!$A$1:$G$1,0))</f>
        <v>0.2</v>
      </c>
      <c r="L716">
        <f>INDEX(products!$A$1:$G$49,MATCH(orders!$D716,products!$A$1:$A$49,0),MATCH($L$1,products!$A$1:$G$1,0))</f>
        <v>3.645</v>
      </c>
      <c r="M716">
        <f t="shared" si="34"/>
        <v>14.58</v>
      </c>
      <c r="N716" t="str">
        <f t="shared" si="35"/>
        <v>Excelsa</v>
      </c>
      <c r="O716" t="str">
        <f t="shared" si="36"/>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_xlfn.XLOOKUP(C717,customers!$A$2:$A$1001,customers!$B$2:$B$1001,0)</f>
        <v>Gilberto Cornier</v>
      </c>
      <c r="G717" s="2" t="str">
        <f>_xlfn.XLOOKUP(C717,customers!$A$2:$A$1001,customers!$C$2:$C$1001,0)</f>
        <v>gcornierjv@techcrunch.com</v>
      </c>
      <c r="H717" s="2" t="str">
        <f>_xlfn.XLOOKUP(orders!C717,customers!$A$2:$A$1001,customers!$G$2:$G$1001,0)</f>
        <v>United States</v>
      </c>
      <c r="I717" t="str">
        <f>INDEX(products!$A$1:$G$49,MATCH(orders!$D717,products!$A$1:$A$49,0),MATCH($I$1,products!$A$1:$G$1,0))</f>
        <v>Exc</v>
      </c>
      <c r="J717" t="str">
        <f>INDEX(products!$A$1:$G$49,MATCH(orders!$D717,products!$A$1:$A$49,0),MATCH($J$1,products!$A$1:$G$1,0))</f>
        <v>L</v>
      </c>
      <c r="K717" s="1">
        <f>INDEX(products!$A$1:$G$49,MATCH(orders!$D717,products!$A$1:$A$49,0),MATCH($K$1,products!$A$1:$G$1,0))</f>
        <v>1</v>
      </c>
      <c r="L717">
        <f>INDEX(products!$A$1:$G$49,MATCH(orders!$D717,products!$A$1:$A$49,0),MATCH($L$1,products!$A$1:$G$1,0))</f>
        <v>14.85</v>
      </c>
      <c r="M717">
        <f t="shared" si="34"/>
        <v>89.1</v>
      </c>
      <c r="N717" t="str">
        <f t="shared" si="35"/>
        <v>Excelsa</v>
      </c>
      <c r="O717" t="str">
        <f t="shared" si="36"/>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_xlfn.XLOOKUP(C718,customers!$A$2:$A$1001,customers!$B$2:$B$1001,0)</f>
        <v>Jimmy Dymoke</v>
      </c>
      <c r="G718" s="2" t="str">
        <f>_xlfn.XLOOKUP(C718,customers!$A$2:$A$1001,customers!$C$2:$C$1001,0)</f>
        <v>jdymokeje@prnewswire.com</v>
      </c>
      <c r="H718" s="2" t="str">
        <f>_xlfn.XLOOKUP(orders!C718,customers!$A$2:$A$1001,customers!$G$2:$G$1001,0)</f>
        <v>Ireland</v>
      </c>
      <c r="I718" t="str">
        <f>INDEX(products!$A$1:$G$49,MATCH(orders!$D718,products!$A$1:$A$49,0),MATCH($I$1,products!$A$1:$G$1,0))</f>
        <v>Rob</v>
      </c>
      <c r="J718" t="str">
        <f>INDEX(products!$A$1:$G$49,MATCH(orders!$D718,products!$A$1:$A$49,0),MATCH($J$1,products!$A$1:$G$1,0))</f>
        <v>L</v>
      </c>
      <c r="K718" s="1">
        <f>INDEX(products!$A$1:$G$49,MATCH(orders!$D718,products!$A$1:$A$49,0),MATCH($K$1,products!$A$1:$G$1,0))</f>
        <v>1</v>
      </c>
      <c r="L718">
        <f>INDEX(products!$A$1:$G$49,MATCH(orders!$D718,products!$A$1:$A$49,0),MATCH($L$1,products!$A$1:$G$1,0))</f>
        <v>11.95</v>
      </c>
      <c r="M718">
        <f t="shared" si="34"/>
        <v>35.849999999999994</v>
      </c>
      <c r="N718" t="str">
        <f t="shared" si="35"/>
        <v>Robusta</v>
      </c>
      <c r="O718" t="str">
        <f t="shared" si="36"/>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_xlfn.XLOOKUP(C719,customers!$A$2:$A$1001,customers!$B$2:$B$1001,0)</f>
        <v>Willabella Harvison</v>
      </c>
      <c r="G719" s="2" t="str">
        <f>_xlfn.XLOOKUP(C719,customers!$A$2:$A$1001,customers!$C$2:$C$1001,0)</f>
        <v>wharvisonjx@gizmodo.com</v>
      </c>
      <c r="H719" s="2" t="str">
        <f>_xlfn.XLOOKUP(orders!C719,customers!$A$2:$A$1001,customers!$G$2:$G$1001,0)</f>
        <v>United States</v>
      </c>
      <c r="I719" t="str">
        <f>INDEX(products!$A$1:$G$49,MATCH(orders!$D719,products!$A$1:$A$49,0),MATCH($I$1,products!$A$1:$G$1,0))</f>
        <v>Ara</v>
      </c>
      <c r="J719" t="str">
        <f>INDEX(products!$A$1:$G$49,MATCH(orders!$D719,products!$A$1:$A$49,0),MATCH($J$1,products!$A$1:$G$1,0))</f>
        <v>D</v>
      </c>
      <c r="K719" s="1">
        <f>INDEX(products!$A$1:$G$49,MATCH(orders!$D719,products!$A$1:$A$49,0),MATCH($K$1,products!$A$1:$G$1,0))</f>
        <v>2.5</v>
      </c>
      <c r="L719">
        <f>INDEX(products!$A$1:$G$49,MATCH(orders!$D719,products!$A$1:$A$49,0),MATCH($L$1,products!$A$1:$G$1,0))</f>
        <v>22.884999999999998</v>
      </c>
      <c r="M719">
        <f t="shared" si="34"/>
        <v>68.655000000000001</v>
      </c>
      <c r="N719" t="str">
        <f t="shared" si="35"/>
        <v>Arabica</v>
      </c>
      <c r="O719" t="str">
        <f t="shared" si="36"/>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_xlfn.XLOOKUP(C720,customers!$A$2:$A$1001,customers!$B$2:$B$1001,0)</f>
        <v>Darice Heaford</v>
      </c>
      <c r="G720" s="2" t="str">
        <f>_xlfn.XLOOKUP(C720,customers!$A$2:$A$1001,customers!$C$2:$C$1001,0)</f>
        <v>dheafordjy@twitpic.com</v>
      </c>
      <c r="H720" s="2" t="str">
        <f>_xlfn.XLOOKUP(orders!C720,customers!$A$2:$A$1001,customers!$G$2:$G$1001,0)</f>
        <v>United States</v>
      </c>
      <c r="I720" t="str">
        <f>INDEX(products!$A$1:$G$49,MATCH(orders!$D720,products!$A$1:$A$49,0),MATCH($I$1,products!$A$1:$G$1,0))</f>
        <v>Lib</v>
      </c>
      <c r="J720" t="str">
        <f>INDEX(products!$A$1:$G$49,MATCH(orders!$D720,products!$A$1:$A$49,0),MATCH($J$1,products!$A$1:$G$1,0))</f>
        <v>D</v>
      </c>
      <c r="K720" s="1">
        <f>INDEX(products!$A$1:$G$49,MATCH(orders!$D720,products!$A$1:$A$49,0),MATCH($K$1,products!$A$1:$G$1,0))</f>
        <v>1</v>
      </c>
      <c r="L720">
        <f>INDEX(products!$A$1:$G$49,MATCH(orders!$D720,products!$A$1:$A$49,0),MATCH($L$1,products!$A$1:$G$1,0))</f>
        <v>12.95</v>
      </c>
      <c r="M720">
        <f t="shared" si="34"/>
        <v>38.849999999999994</v>
      </c>
      <c r="N720" t="str">
        <f t="shared" si="35"/>
        <v>Liberica</v>
      </c>
      <c r="O720" t="str">
        <f t="shared" si="36"/>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_xlfn.XLOOKUP(C721,customers!$A$2:$A$1001,customers!$B$2:$B$1001,0)</f>
        <v>Granger Fantham</v>
      </c>
      <c r="G721" s="2" t="str">
        <f>_xlfn.XLOOKUP(C721,customers!$A$2:$A$1001,customers!$C$2:$C$1001,0)</f>
        <v>gfanthamjz@hexun.com</v>
      </c>
      <c r="H721" s="2" t="str">
        <f>_xlfn.XLOOKUP(orders!C721,customers!$A$2:$A$1001,customers!$G$2:$G$1001,0)</f>
        <v>United States</v>
      </c>
      <c r="I721" t="str">
        <f>INDEX(products!$A$1:$G$49,MATCH(orders!$D721,products!$A$1:$A$49,0),MATCH($I$1,products!$A$1:$G$1,0))</f>
        <v>Lib</v>
      </c>
      <c r="J721" t="str">
        <f>INDEX(products!$A$1:$G$49,MATCH(orders!$D721,products!$A$1:$A$49,0),MATCH($J$1,products!$A$1:$G$1,0))</f>
        <v>L</v>
      </c>
      <c r="K721" s="1">
        <f>INDEX(products!$A$1:$G$49,MATCH(orders!$D721,products!$A$1:$A$49,0),MATCH($K$1,products!$A$1:$G$1,0))</f>
        <v>1</v>
      </c>
      <c r="L721">
        <f>INDEX(products!$A$1:$G$49,MATCH(orders!$D721,products!$A$1:$A$49,0),MATCH($L$1,products!$A$1:$G$1,0))</f>
        <v>15.85</v>
      </c>
      <c r="M721">
        <f t="shared" si="34"/>
        <v>79.25</v>
      </c>
      <c r="N721" t="str">
        <f t="shared" si="35"/>
        <v>Liberica</v>
      </c>
      <c r="O721" t="str">
        <f t="shared" si="36"/>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_xlfn.XLOOKUP(C722,customers!$A$2:$A$1001,customers!$B$2:$B$1001,0)</f>
        <v>Reynolds Crookshanks</v>
      </c>
      <c r="G722" s="2" t="str">
        <f>_xlfn.XLOOKUP(C722,customers!$A$2:$A$1001,customers!$C$2:$C$1001,0)</f>
        <v>rcrookshanksk0@unc.edu</v>
      </c>
      <c r="H722" s="2" t="str">
        <f>_xlfn.XLOOKUP(orders!C722,customers!$A$2:$A$1001,customers!$G$2:$G$1001,0)</f>
        <v>United States</v>
      </c>
      <c r="I722" t="str">
        <f>INDEX(products!$A$1:$G$49,MATCH(orders!$D722,products!$A$1:$A$49,0),MATCH($I$1,products!$A$1:$G$1,0))</f>
        <v>Exc</v>
      </c>
      <c r="J722" t="str">
        <f>INDEX(products!$A$1:$G$49,MATCH(orders!$D722,products!$A$1:$A$49,0),MATCH($J$1,products!$A$1:$G$1,0))</f>
        <v>D</v>
      </c>
      <c r="K722" s="1">
        <f>INDEX(products!$A$1:$G$49,MATCH(orders!$D722,products!$A$1:$A$49,0),MATCH($K$1,products!$A$1:$G$1,0))</f>
        <v>0.5</v>
      </c>
      <c r="L722">
        <f>INDEX(products!$A$1:$G$49,MATCH(orders!$D722,products!$A$1:$A$49,0),MATCH($L$1,products!$A$1:$G$1,0))</f>
        <v>7.29</v>
      </c>
      <c r="M722">
        <f t="shared" si="34"/>
        <v>36.450000000000003</v>
      </c>
      <c r="N722" t="str">
        <f t="shared" si="35"/>
        <v>Excelsa</v>
      </c>
      <c r="O722" t="str">
        <f t="shared" si="36"/>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_xlfn.XLOOKUP(C723,customers!$A$2:$A$1001,customers!$B$2:$B$1001,0)</f>
        <v>Niels Leake</v>
      </c>
      <c r="G723" s="2" t="str">
        <f>_xlfn.XLOOKUP(C723,customers!$A$2:$A$1001,customers!$C$2:$C$1001,0)</f>
        <v>nleakek1@cmu.edu</v>
      </c>
      <c r="H723" s="2" t="str">
        <f>_xlfn.XLOOKUP(orders!C723,customers!$A$2:$A$1001,customers!$G$2:$G$1001,0)</f>
        <v>United States</v>
      </c>
      <c r="I723" t="str">
        <f>INDEX(products!$A$1:$G$49,MATCH(orders!$D723,products!$A$1:$A$49,0),MATCH($I$1,products!$A$1:$G$1,0))</f>
        <v>Rob</v>
      </c>
      <c r="J723" t="str">
        <f>INDEX(products!$A$1:$G$49,MATCH(orders!$D723,products!$A$1:$A$49,0),MATCH($J$1,products!$A$1:$G$1,0))</f>
        <v>M</v>
      </c>
      <c r="K723" s="1">
        <f>INDEX(products!$A$1:$G$49,MATCH(orders!$D723,products!$A$1:$A$49,0),MATCH($K$1,products!$A$1:$G$1,0))</f>
        <v>0.2</v>
      </c>
      <c r="L723">
        <f>INDEX(products!$A$1:$G$49,MATCH(orders!$D723,products!$A$1:$A$49,0),MATCH($L$1,products!$A$1:$G$1,0))</f>
        <v>2.9849999999999999</v>
      </c>
      <c r="M723">
        <f t="shared" si="34"/>
        <v>8.9550000000000001</v>
      </c>
      <c r="N723" t="str">
        <f t="shared" si="35"/>
        <v>Robusta</v>
      </c>
      <c r="O723" t="str">
        <f t="shared" si="36"/>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_xlfn.XLOOKUP(C724,customers!$A$2:$A$1001,customers!$B$2:$B$1001,0)</f>
        <v>Hetti Measures</v>
      </c>
      <c r="G724" s="2">
        <f>_xlfn.XLOOKUP(C724,customers!$A$2:$A$1001,customers!$C$2:$C$1001,0)</f>
        <v>0</v>
      </c>
      <c r="H724" s="2" t="str">
        <f>_xlfn.XLOOKUP(orders!C724,customers!$A$2:$A$1001,customers!$G$2:$G$1001,0)</f>
        <v>United States</v>
      </c>
      <c r="I724" t="str">
        <f>INDEX(products!$A$1:$G$49,MATCH(orders!$D724,products!$A$1:$A$49,0),MATCH($I$1,products!$A$1:$G$1,0))</f>
        <v>Exc</v>
      </c>
      <c r="J724" t="str">
        <f>INDEX(products!$A$1:$G$49,MATCH(orders!$D724,products!$A$1:$A$49,0),MATCH($J$1,products!$A$1:$G$1,0))</f>
        <v>D</v>
      </c>
      <c r="K724" s="1">
        <f>INDEX(products!$A$1:$G$49,MATCH(orders!$D724,products!$A$1:$A$49,0),MATCH($K$1,products!$A$1:$G$1,0))</f>
        <v>1</v>
      </c>
      <c r="L724">
        <f>INDEX(products!$A$1:$G$49,MATCH(orders!$D724,products!$A$1:$A$49,0),MATCH($L$1,products!$A$1:$G$1,0))</f>
        <v>12.15</v>
      </c>
      <c r="M724">
        <f t="shared" si="34"/>
        <v>24.3</v>
      </c>
      <c r="N724" t="str">
        <f t="shared" si="35"/>
        <v>Excelsa</v>
      </c>
      <c r="O724" t="str">
        <f t="shared" si="36"/>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_xlfn.XLOOKUP(C725,customers!$A$2:$A$1001,customers!$B$2:$B$1001,0)</f>
        <v>Gay Eilhersen</v>
      </c>
      <c r="G725" s="2" t="str">
        <f>_xlfn.XLOOKUP(C725,customers!$A$2:$A$1001,customers!$C$2:$C$1001,0)</f>
        <v>geilhersenk3@networksolutions.com</v>
      </c>
      <c r="H725" s="2" t="str">
        <f>_xlfn.XLOOKUP(orders!C725,customers!$A$2:$A$1001,customers!$G$2:$G$1001,0)</f>
        <v>United States</v>
      </c>
      <c r="I725" t="str">
        <f>INDEX(products!$A$1:$G$49,MATCH(orders!$D725,products!$A$1:$A$49,0),MATCH($I$1,products!$A$1:$G$1,0))</f>
        <v>Exc</v>
      </c>
      <c r="J725" t="str">
        <f>INDEX(products!$A$1:$G$49,MATCH(orders!$D725,products!$A$1:$A$49,0),MATCH($J$1,products!$A$1:$G$1,0))</f>
        <v>M</v>
      </c>
      <c r="K725" s="1">
        <f>INDEX(products!$A$1:$G$49,MATCH(orders!$D725,products!$A$1:$A$49,0),MATCH($K$1,products!$A$1:$G$1,0))</f>
        <v>2.5</v>
      </c>
      <c r="L725">
        <f>INDEX(products!$A$1:$G$49,MATCH(orders!$D725,products!$A$1:$A$49,0),MATCH($L$1,products!$A$1:$G$1,0))</f>
        <v>31.624999999999996</v>
      </c>
      <c r="M725">
        <f t="shared" si="34"/>
        <v>63.249999999999993</v>
      </c>
      <c r="N725" t="str">
        <f t="shared" si="35"/>
        <v>Excelsa</v>
      </c>
      <c r="O725" t="str">
        <f t="shared" si="36"/>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_xlfn.XLOOKUP(C726,customers!$A$2:$A$1001,customers!$B$2:$B$1001,0)</f>
        <v>Nico Hubert</v>
      </c>
      <c r="G726" s="2">
        <f>_xlfn.XLOOKUP(C726,customers!$A$2:$A$1001,customers!$C$2:$C$1001,0)</f>
        <v>0</v>
      </c>
      <c r="H726" s="2" t="str">
        <f>_xlfn.XLOOKUP(orders!C726,customers!$A$2:$A$1001,customers!$G$2:$G$1001,0)</f>
        <v>United States</v>
      </c>
      <c r="I726" t="str">
        <f>INDEX(products!$A$1:$G$49,MATCH(orders!$D726,products!$A$1:$A$49,0),MATCH($I$1,products!$A$1:$G$1,0))</f>
        <v>Ara</v>
      </c>
      <c r="J726" t="str">
        <f>INDEX(products!$A$1:$G$49,MATCH(orders!$D726,products!$A$1:$A$49,0),MATCH($J$1,products!$A$1:$G$1,0))</f>
        <v>M</v>
      </c>
      <c r="K726" s="1">
        <f>INDEX(products!$A$1:$G$49,MATCH(orders!$D726,products!$A$1:$A$49,0),MATCH($K$1,products!$A$1:$G$1,0))</f>
        <v>0.2</v>
      </c>
      <c r="L726">
        <f>INDEX(products!$A$1:$G$49,MATCH(orders!$D726,products!$A$1:$A$49,0),MATCH($L$1,products!$A$1:$G$1,0))</f>
        <v>3.375</v>
      </c>
      <c r="M726">
        <f t="shared" si="34"/>
        <v>6.75</v>
      </c>
      <c r="N726" t="str">
        <f t="shared" si="35"/>
        <v>Arabica</v>
      </c>
      <c r="O726" t="str">
        <f t="shared" si="36"/>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_xlfn.XLOOKUP(C727,customers!$A$2:$A$1001,customers!$B$2:$B$1001,0)</f>
        <v>Cristina Aleixo</v>
      </c>
      <c r="G727" s="2" t="str">
        <f>_xlfn.XLOOKUP(C727,customers!$A$2:$A$1001,customers!$C$2:$C$1001,0)</f>
        <v>caleixok5@globo.com</v>
      </c>
      <c r="H727" s="2" t="str">
        <f>_xlfn.XLOOKUP(orders!C727,customers!$A$2:$A$1001,customers!$G$2:$G$1001,0)</f>
        <v>United States</v>
      </c>
      <c r="I727" t="str">
        <f>INDEX(products!$A$1:$G$49,MATCH(orders!$D727,products!$A$1:$A$49,0),MATCH($I$1,products!$A$1:$G$1,0))</f>
        <v>Ara</v>
      </c>
      <c r="J727" t="str">
        <f>INDEX(products!$A$1:$G$49,MATCH(orders!$D727,products!$A$1:$A$49,0),MATCH($J$1,products!$A$1:$G$1,0))</f>
        <v>L</v>
      </c>
      <c r="K727" s="1">
        <f>INDEX(products!$A$1:$G$49,MATCH(orders!$D727,products!$A$1:$A$49,0),MATCH($K$1,products!$A$1:$G$1,0))</f>
        <v>0.2</v>
      </c>
      <c r="L727">
        <f>INDEX(products!$A$1:$G$49,MATCH(orders!$D727,products!$A$1:$A$49,0),MATCH($L$1,products!$A$1:$G$1,0))</f>
        <v>3.8849999999999998</v>
      </c>
      <c r="M727">
        <f t="shared" si="34"/>
        <v>23.31</v>
      </c>
      <c r="N727" t="str">
        <f t="shared" si="35"/>
        <v>Arabica</v>
      </c>
      <c r="O727" t="str">
        <f t="shared" si="36"/>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_xlfn.XLOOKUP(C728,customers!$A$2:$A$1001,customers!$B$2:$B$1001,0)</f>
        <v>Derrek Allpress</v>
      </c>
      <c r="G728" s="2">
        <f>_xlfn.XLOOKUP(C728,customers!$A$2:$A$1001,customers!$C$2:$C$1001,0)</f>
        <v>0</v>
      </c>
      <c r="H728" s="2" t="str">
        <f>_xlfn.XLOOKUP(orders!C728,customers!$A$2:$A$1001,customers!$G$2:$G$1001,0)</f>
        <v>United States</v>
      </c>
      <c r="I728" t="str">
        <f>INDEX(products!$A$1:$G$49,MATCH(orders!$D728,products!$A$1:$A$49,0),MATCH($I$1,products!$A$1:$G$1,0))</f>
        <v>Lib</v>
      </c>
      <c r="J728" t="str">
        <f>INDEX(products!$A$1:$G$49,MATCH(orders!$D728,products!$A$1:$A$49,0),MATCH($J$1,products!$A$1:$G$1,0))</f>
        <v>L</v>
      </c>
      <c r="K728" s="1">
        <f>INDEX(products!$A$1:$G$49,MATCH(orders!$D728,products!$A$1:$A$49,0),MATCH($K$1,products!$A$1:$G$1,0))</f>
        <v>2.5</v>
      </c>
      <c r="L728">
        <f>INDEX(products!$A$1:$G$49,MATCH(orders!$D728,products!$A$1:$A$49,0),MATCH($L$1,products!$A$1:$G$1,0))</f>
        <v>36.454999999999998</v>
      </c>
      <c r="M728">
        <f t="shared" si="34"/>
        <v>145.82</v>
      </c>
      <c r="N728" t="str">
        <f t="shared" si="35"/>
        <v>Liberica</v>
      </c>
      <c r="O728" t="str">
        <f t="shared" si="36"/>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_xlfn.XLOOKUP(C729,customers!$A$2:$A$1001,customers!$B$2:$B$1001,0)</f>
        <v>Rikki Tomkowicz</v>
      </c>
      <c r="G729" s="2" t="str">
        <f>_xlfn.XLOOKUP(C729,customers!$A$2:$A$1001,customers!$C$2:$C$1001,0)</f>
        <v>rtomkowiczk7@bravesites.com</v>
      </c>
      <c r="H729" s="2" t="str">
        <f>_xlfn.XLOOKUP(orders!C729,customers!$A$2:$A$1001,customers!$G$2:$G$1001,0)</f>
        <v>Ireland</v>
      </c>
      <c r="I729" t="str">
        <f>INDEX(products!$A$1:$G$49,MATCH(orders!$D729,products!$A$1:$A$49,0),MATCH($I$1,products!$A$1:$G$1,0))</f>
        <v>Rob</v>
      </c>
      <c r="J729" t="str">
        <f>INDEX(products!$A$1:$G$49,MATCH(orders!$D729,products!$A$1:$A$49,0),MATCH($J$1,products!$A$1:$G$1,0))</f>
        <v>M</v>
      </c>
      <c r="K729" s="1">
        <f>INDEX(products!$A$1:$G$49,MATCH(orders!$D729,products!$A$1:$A$49,0),MATCH($K$1,products!$A$1:$G$1,0))</f>
        <v>0.5</v>
      </c>
      <c r="L729">
        <f>INDEX(products!$A$1:$G$49,MATCH(orders!$D729,products!$A$1:$A$49,0),MATCH($L$1,products!$A$1:$G$1,0))</f>
        <v>5.97</v>
      </c>
      <c r="M729">
        <f t="shared" si="34"/>
        <v>29.849999999999998</v>
      </c>
      <c r="N729" t="str">
        <f t="shared" si="35"/>
        <v>Robusta</v>
      </c>
      <c r="O729" t="str">
        <f t="shared" si="36"/>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_xlfn.XLOOKUP(C730,customers!$A$2:$A$1001,customers!$B$2:$B$1001,0)</f>
        <v>Rochette Huscroft</v>
      </c>
      <c r="G730" s="2" t="str">
        <f>_xlfn.XLOOKUP(C730,customers!$A$2:$A$1001,customers!$C$2:$C$1001,0)</f>
        <v>rhuscroftk8@jimdo.com</v>
      </c>
      <c r="H730" s="2" t="str">
        <f>_xlfn.XLOOKUP(orders!C730,customers!$A$2:$A$1001,customers!$G$2:$G$1001,0)</f>
        <v>United States</v>
      </c>
      <c r="I730" t="str">
        <f>INDEX(products!$A$1:$G$49,MATCH(orders!$D730,products!$A$1:$A$49,0),MATCH($I$1,products!$A$1:$G$1,0))</f>
        <v>Exc</v>
      </c>
      <c r="J730" t="str">
        <f>INDEX(products!$A$1:$G$49,MATCH(orders!$D730,products!$A$1:$A$49,0),MATCH($J$1,products!$A$1:$G$1,0))</f>
        <v>D</v>
      </c>
      <c r="K730" s="1">
        <f>INDEX(products!$A$1:$G$49,MATCH(orders!$D730,products!$A$1:$A$49,0),MATCH($K$1,products!$A$1:$G$1,0))</f>
        <v>0.5</v>
      </c>
      <c r="L730">
        <f>INDEX(products!$A$1:$G$49,MATCH(orders!$D730,products!$A$1:$A$49,0),MATCH($L$1,products!$A$1:$G$1,0))</f>
        <v>7.29</v>
      </c>
      <c r="M730">
        <f t="shared" si="34"/>
        <v>21.87</v>
      </c>
      <c r="N730" t="str">
        <f t="shared" si="35"/>
        <v>Excelsa</v>
      </c>
      <c r="O730" t="str">
        <f t="shared" si="36"/>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_xlfn.XLOOKUP(C731,customers!$A$2:$A$1001,customers!$B$2:$B$1001,0)</f>
        <v>Selle Scurrer</v>
      </c>
      <c r="G731" s="2" t="str">
        <f>_xlfn.XLOOKUP(C731,customers!$A$2:$A$1001,customers!$C$2:$C$1001,0)</f>
        <v>sscurrerk9@flavors.me</v>
      </c>
      <c r="H731" s="2" t="str">
        <f>_xlfn.XLOOKUP(orders!C731,customers!$A$2:$A$1001,customers!$G$2:$G$1001,0)</f>
        <v>United Kingdom</v>
      </c>
      <c r="I731" t="str">
        <f>INDEX(products!$A$1:$G$49,MATCH(orders!$D731,products!$A$1:$A$49,0),MATCH($I$1,products!$A$1:$G$1,0))</f>
        <v>Lib</v>
      </c>
      <c r="J731" t="str">
        <f>INDEX(products!$A$1:$G$49,MATCH(orders!$D731,products!$A$1:$A$49,0),MATCH($J$1,products!$A$1:$G$1,0))</f>
        <v>M</v>
      </c>
      <c r="K731" s="1">
        <f>INDEX(products!$A$1:$G$49,MATCH(orders!$D731,products!$A$1:$A$49,0),MATCH($K$1,products!$A$1:$G$1,0))</f>
        <v>0.2</v>
      </c>
      <c r="L731">
        <f>INDEX(products!$A$1:$G$49,MATCH(orders!$D731,products!$A$1:$A$49,0),MATCH($L$1,products!$A$1:$G$1,0))</f>
        <v>4.3650000000000002</v>
      </c>
      <c r="M731">
        <f t="shared" si="34"/>
        <v>4.3650000000000002</v>
      </c>
      <c r="N731" t="str">
        <f t="shared" si="35"/>
        <v>Liberica</v>
      </c>
      <c r="O731" t="str">
        <f t="shared" si="36"/>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_xlfn.XLOOKUP(C732,customers!$A$2:$A$1001,customers!$B$2:$B$1001,0)</f>
        <v>Andie Rudram</v>
      </c>
      <c r="G732" s="2" t="str">
        <f>_xlfn.XLOOKUP(C732,customers!$A$2:$A$1001,customers!$C$2:$C$1001,0)</f>
        <v>arudramka@prnewswire.com</v>
      </c>
      <c r="H732" s="2" t="str">
        <f>_xlfn.XLOOKUP(orders!C732,customers!$A$2:$A$1001,customers!$G$2:$G$1001,0)</f>
        <v>United States</v>
      </c>
      <c r="I732" t="str">
        <f>INDEX(products!$A$1:$G$49,MATCH(orders!$D732,products!$A$1:$A$49,0),MATCH($I$1,products!$A$1:$G$1,0))</f>
        <v>Lib</v>
      </c>
      <c r="J732" t="str">
        <f>INDEX(products!$A$1:$G$49,MATCH(orders!$D732,products!$A$1:$A$49,0),MATCH($J$1,products!$A$1:$G$1,0))</f>
        <v>L</v>
      </c>
      <c r="K732" s="1">
        <f>INDEX(products!$A$1:$G$49,MATCH(orders!$D732,products!$A$1:$A$49,0),MATCH($K$1,products!$A$1:$G$1,0))</f>
        <v>2.5</v>
      </c>
      <c r="L732">
        <f>INDEX(products!$A$1:$G$49,MATCH(orders!$D732,products!$A$1:$A$49,0),MATCH($L$1,products!$A$1:$G$1,0))</f>
        <v>36.454999999999998</v>
      </c>
      <c r="M732">
        <f t="shared" si="34"/>
        <v>36.454999999999998</v>
      </c>
      <c r="N732" t="str">
        <f t="shared" si="35"/>
        <v>Liberica</v>
      </c>
      <c r="O732" t="str">
        <f t="shared" si="36"/>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_xlfn.XLOOKUP(C733,customers!$A$2:$A$1001,customers!$B$2:$B$1001,0)</f>
        <v>Leta Clarricoates</v>
      </c>
      <c r="G733" s="2">
        <f>_xlfn.XLOOKUP(C733,customers!$A$2:$A$1001,customers!$C$2:$C$1001,0)</f>
        <v>0</v>
      </c>
      <c r="H733" s="2" t="str">
        <f>_xlfn.XLOOKUP(orders!C733,customers!$A$2:$A$1001,customers!$G$2:$G$1001,0)</f>
        <v>United States</v>
      </c>
      <c r="I733" t="str">
        <f>INDEX(products!$A$1:$G$49,MATCH(orders!$D733,products!$A$1:$A$49,0),MATCH($I$1,products!$A$1:$G$1,0))</f>
        <v>Lib</v>
      </c>
      <c r="J733" t="str">
        <f>INDEX(products!$A$1:$G$49,MATCH(orders!$D733,products!$A$1:$A$49,0),MATCH($J$1,products!$A$1:$G$1,0))</f>
        <v>D</v>
      </c>
      <c r="K733" s="1">
        <f>INDEX(products!$A$1:$G$49,MATCH(orders!$D733,products!$A$1:$A$49,0),MATCH($K$1,products!$A$1:$G$1,0))</f>
        <v>0.2</v>
      </c>
      <c r="L733">
        <f>INDEX(products!$A$1:$G$49,MATCH(orders!$D733,products!$A$1:$A$49,0),MATCH($L$1,products!$A$1:$G$1,0))</f>
        <v>3.8849999999999998</v>
      </c>
      <c r="M733">
        <f t="shared" si="34"/>
        <v>15.54</v>
      </c>
      <c r="N733" t="str">
        <f t="shared" si="35"/>
        <v>Liberica</v>
      </c>
      <c r="O733" t="str">
        <f t="shared" si="36"/>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_xlfn.XLOOKUP(C734,customers!$A$2:$A$1001,customers!$B$2:$B$1001,0)</f>
        <v>Jacquelyn Maha</v>
      </c>
      <c r="G734" s="2" t="str">
        <f>_xlfn.XLOOKUP(C734,customers!$A$2:$A$1001,customers!$C$2:$C$1001,0)</f>
        <v>jmahakc@cyberchimps.com</v>
      </c>
      <c r="H734" s="2" t="str">
        <f>_xlfn.XLOOKUP(orders!C734,customers!$A$2:$A$1001,customers!$G$2:$G$1001,0)</f>
        <v>United States</v>
      </c>
      <c r="I734" t="str">
        <f>INDEX(products!$A$1:$G$49,MATCH(orders!$D734,products!$A$1:$A$49,0),MATCH($I$1,products!$A$1:$G$1,0))</f>
        <v>Exc</v>
      </c>
      <c r="J734" t="str">
        <f>INDEX(products!$A$1:$G$49,MATCH(orders!$D734,products!$A$1:$A$49,0),MATCH($J$1,products!$A$1:$G$1,0))</f>
        <v>L</v>
      </c>
      <c r="K734" s="1">
        <f>INDEX(products!$A$1:$G$49,MATCH(orders!$D734,products!$A$1:$A$49,0),MATCH($K$1,products!$A$1:$G$1,0))</f>
        <v>0.2</v>
      </c>
      <c r="L734">
        <f>INDEX(products!$A$1:$G$49,MATCH(orders!$D734,products!$A$1:$A$49,0),MATCH($L$1,products!$A$1:$G$1,0))</f>
        <v>4.4550000000000001</v>
      </c>
      <c r="M734">
        <f t="shared" si="34"/>
        <v>8.91</v>
      </c>
      <c r="N734" t="str">
        <f t="shared" si="35"/>
        <v>Excelsa</v>
      </c>
      <c r="O734" t="str">
        <f t="shared" si="36"/>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_xlfn.XLOOKUP(C735,customers!$A$2:$A$1001,customers!$B$2:$B$1001,0)</f>
        <v>Glory Clemon</v>
      </c>
      <c r="G735" s="2" t="str">
        <f>_xlfn.XLOOKUP(C735,customers!$A$2:$A$1001,customers!$C$2:$C$1001,0)</f>
        <v>gclemonkd@networksolutions.com</v>
      </c>
      <c r="H735" s="2" t="str">
        <f>_xlfn.XLOOKUP(orders!C735,customers!$A$2:$A$1001,customers!$G$2:$G$1001,0)</f>
        <v>United States</v>
      </c>
      <c r="I735" t="str">
        <f>INDEX(products!$A$1:$G$49,MATCH(orders!$D735,products!$A$1:$A$49,0),MATCH($I$1,products!$A$1:$G$1,0))</f>
        <v>Lib</v>
      </c>
      <c r="J735" t="str">
        <f>INDEX(products!$A$1:$G$49,MATCH(orders!$D735,products!$A$1:$A$49,0),MATCH($J$1,products!$A$1:$G$1,0))</f>
        <v>M</v>
      </c>
      <c r="K735" s="1">
        <f>INDEX(products!$A$1:$G$49,MATCH(orders!$D735,products!$A$1:$A$49,0),MATCH($K$1,products!$A$1:$G$1,0))</f>
        <v>2.5</v>
      </c>
      <c r="L735">
        <f>INDEX(products!$A$1:$G$49,MATCH(orders!$D735,products!$A$1:$A$49,0),MATCH($L$1,products!$A$1:$G$1,0))</f>
        <v>33.464999999999996</v>
      </c>
      <c r="M735">
        <f t="shared" si="34"/>
        <v>100.39499999999998</v>
      </c>
      <c r="N735" t="str">
        <f t="shared" si="35"/>
        <v>Liberica</v>
      </c>
      <c r="O735" t="str">
        <f t="shared" si="36"/>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_xlfn.XLOOKUP(C736,customers!$A$2:$A$1001,customers!$B$2:$B$1001,0)</f>
        <v>Alica Kift</v>
      </c>
      <c r="G736" s="2">
        <f>_xlfn.XLOOKUP(C736,customers!$A$2:$A$1001,customers!$C$2:$C$1001,0)</f>
        <v>0</v>
      </c>
      <c r="H736" s="2" t="str">
        <f>_xlfn.XLOOKUP(orders!C736,customers!$A$2:$A$1001,customers!$G$2:$G$1001,0)</f>
        <v>United States</v>
      </c>
      <c r="I736" t="str">
        <f>INDEX(products!$A$1:$G$49,MATCH(orders!$D736,products!$A$1:$A$49,0),MATCH($I$1,products!$A$1:$G$1,0))</f>
        <v>Rob</v>
      </c>
      <c r="J736" t="str">
        <f>INDEX(products!$A$1:$G$49,MATCH(orders!$D736,products!$A$1:$A$49,0),MATCH($J$1,products!$A$1:$G$1,0))</f>
        <v>D</v>
      </c>
      <c r="K736" s="1">
        <f>INDEX(products!$A$1:$G$49,MATCH(orders!$D736,products!$A$1:$A$49,0),MATCH($K$1,products!$A$1:$G$1,0))</f>
        <v>0.2</v>
      </c>
      <c r="L736">
        <f>INDEX(products!$A$1:$G$49,MATCH(orders!$D736,products!$A$1:$A$49,0),MATCH($L$1,products!$A$1:$G$1,0))</f>
        <v>2.6849999999999996</v>
      </c>
      <c r="M736">
        <f t="shared" si="34"/>
        <v>13.424999999999997</v>
      </c>
      <c r="N736" t="str">
        <f t="shared" si="35"/>
        <v>Robusta</v>
      </c>
      <c r="O736" t="str">
        <f t="shared" si="36"/>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_xlfn.XLOOKUP(C737,customers!$A$2:$A$1001,customers!$B$2:$B$1001,0)</f>
        <v>Babb Pollins</v>
      </c>
      <c r="G737" s="2" t="str">
        <f>_xlfn.XLOOKUP(C737,customers!$A$2:$A$1001,customers!$C$2:$C$1001,0)</f>
        <v>bpollinskf@shinystat.com</v>
      </c>
      <c r="H737" s="2" t="str">
        <f>_xlfn.XLOOKUP(orders!C737,customers!$A$2:$A$1001,customers!$G$2:$G$1001,0)</f>
        <v>United States</v>
      </c>
      <c r="I737" t="str">
        <f>INDEX(products!$A$1:$G$49,MATCH(orders!$D737,products!$A$1:$A$49,0),MATCH($I$1,products!$A$1:$G$1,0))</f>
        <v>Exc</v>
      </c>
      <c r="J737" t="str">
        <f>INDEX(products!$A$1:$G$49,MATCH(orders!$D737,products!$A$1:$A$49,0),MATCH($J$1,products!$A$1:$G$1,0))</f>
        <v>D</v>
      </c>
      <c r="K737" s="1">
        <f>INDEX(products!$A$1:$G$49,MATCH(orders!$D737,products!$A$1:$A$49,0),MATCH($K$1,products!$A$1:$G$1,0))</f>
        <v>0.2</v>
      </c>
      <c r="L737">
        <f>INDEX(products!$A$1:$G$49,MATCH(orders!$D737,products!$A$1:$A$49,0),MATCH($L$1,products!$A$1:$G$1,0))</f>
        <v>3.645</v>
      </c>
      <c r="M737">
        <f t="shared" si="34"/>
        <v>21.87</v>
      </c>
      <c r="N737" t="str">
        <f t="shared" si="35"/>
        <v>Excelsa</v>
      </c>
      <c r="O737" t="str">
        <f t="shared" si="36"/>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_xlfn.XLOOKUP(C738,customers!$A$2:$A$1001,customers!$B$2:$B$1001,0)</f>
        <v>Jarret Toye</v>
      </c>
      <c r="G738" s="2" t="str">
        <f>_xlfn.XLOOKUP(C738,customers!$A$2:$A$1001,customers!$C$2:$C$1001,0)</f>
        <v>jtoyekg@pinterest.com</v>
      </c>
      <c r="H738" s="2" t="str">
        <f>_xlfn.XLOOKUP(orders!C738,customers!$A$2:$A$1001,customers!$G$2:$G$1001,0)</f>
        <v>Ireland</v>
      </c>
      <c r="I738" t="str">
        <f>INDEX(products!$A$1:$G$49,MATCH(orders!$D738,products!$A$1:$A$49,0),MATCH($I$1,products!$A$1:$G$1,0))</f>
        <v>Lib</v>
      </c>
      <c r="J738" t="str">
        <f>INDEX(products!$A$1:$G$49,MATCH(orders!$D738,products!$A$1:$A$49,0),MATCH($J$1,products!$A$1:$G$1,0))</f>
        <v>D</v>
      </c>
      <c r="K738" s="1">
        <f>INDEX(products!$A$1:$G$49,MATCH(orders!$D738,products!$A$1:$A$49,0),MATCH($K$1,products!$A$1:$G$1,0))</f>
        <v>1</v>
      </c>
      <c r="L738">
        <f>INDEX(products!$A$1:$G$49,MATCH(orders!$D738,products!$A$1:$A$49,0),MATCH($L$1,products!$A$1:$G$1,0))</f>
        <v>12.95</v>
      </c>
      <c r="M738">
        <f t="shared" si="34"/>
        <v>25.9</v>
      </c>
      <c r="N738" t="str">
        <f t="shared" si="35"/>
        <v>Liberica</v>
      </c>
      <c r="O738" t="str">
        <f t="shared" si="36"/>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_xlfn.XLOOKUP(C739,customers!$A$2:$A$1001,customers!$B$2:$B$1001,0)</f>
        <v>Carlie Linskill</v>
      </c>
      <c r="G739" s="2" t="str">
        <f>_xlfn.XLOOKUP(C739,customers!$A$2:$A$1001,customers!$C$2:$C$1001,0)</f>
        <v>clinskillkh@sphinn.com</v>
      </c>
      <c r="H739" s="2" t="str">
        <f>_xlfn.XLOOKUP(orders!C739,customers!$A$2:$A$1001,customers!$G$2:$G$1001,0)</f>
        <v>United States</v>
      </c>
      <c r="I739" t="str">
        <f>INDEX(products!$A$1:$G$49,MATCH(orders!$D739,products!$A$1:$A$49,0),MATCH($I$1,products!$A$1:$G$1,0))</f>
        <v>Ara</v>
      </c>
      <c r="J739" t="str">
        <f>INDEX(products!$A$1:$G$49,MATCH(orders!$D739,products!$A$1:$A$49,0),MATCH($J$1,products!$A$1:$G$1,0))</f>
        <v>M</v>
      </c>
      <c r="K739" s="1">
        <f>INDEX(products!$A$1:$G$49,MATCH(orders!$D739,products!$A$1:$A$49,0),MATCH($K$1,products!$A$1:$G$1,0))</f>
        <v>1</v>
      </c>
      <c r="L739">
        <f>INDEX(products!$A$1:$G$49,MATCH(orders!$D739,products!$A$1:$A$49,0),MATCH($L$1,products!$A$1:$G$1,0))</f>
        <v>11.25</v>
      </c>
      <c r="M739">
        <f t="shared" si="34"/>
        <v>56.25</v>
      </c>
      <c r="N739" t="str">
        <f t="shared" si="35"/>
        <v>Arabica</v>
      </c>
      <c r="O739" t="str">
        <f t="shared" si="36"/>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_xlfn.XLOOKUP(C740,customers!$A$2:$A$1001,customers!$B$2:$B$1001,0)</f>
        <v>Natal Vigrass</v>
      </c>
      <c r="G740" s="2" t="str">
        <f>_xlfn.XLOOKUP(C740,customers!$A$2:$A$1001,customers!$C$2:$C$1001,0)</f>
        <v>nvigrasski@ezinearticles.com</v>
      </c>
      <c r="H740" s="2" t="str">
        <f>_xlfn.XLOOKUP(orders!C740,customers!$A$2:$A$1001,customers!$G$2:$G$1001,0)</f>
        <v>United Kingdom</v>
      </c>
      <c r="I740" t="str">
        <f>INDEX(products!$A$1:$G$49,MATCH(orders!$D740,products!$A$1:$A$49,0),MATCH($I$1,products!$A$1:$G$1,0))</f>
        <v>Rob</v>
      </c>
      <c r="J740" t="str">
        <f>INDEX(products!$A$1:$G$49,MATCH(orders!$D740,products!$A$1:$A$49,0),MATCH($J$1,products!$A$1:$G$1,0))</f>
        <v>L</v>
      </c>
      <c r="K740" s="1">
        <f>INDEX(products!$A$1:$G$49,MATCH(orders!$D740,products!$A$1:$A$49,0),MATCH($K$1,products!$A$1:$G$1,0))</f>
        <v>0.2</v>
      </c>
      <c r="L740">
        <f>INDEX(products!$A$1:$G$49,MATCH(orders!$D740,products!$A$1:$A$49,0),MATCH($L$1,products!$A$1:$G$1,0))</f>
        <v>3.5849999999999995</v>
      </c>
      <c r="M740">
        <f t="shared" si="34"/>
        <v>10.754999999999999</v>
      </c>
      <c r="N740" t="str">
        <f t="shared" si="35"/>
        <v>Robusta</v>
      </c>
      <c r="O740" t="str">
        <f t="shared" si="36"/>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_xlfn.XLOOKUP(C741,customers!$A$2:$A$1001,customers!$B$2:$B$1001,0)</f>
        <v>Jimmy Dymoke</v>
      </c>
      <c r="G741" s="2" t="str">
        <f>_xlfn.XLOOKUP(C741,customers!$A$2:$A$1001,customers!$C$2:$C$1001,0)</f>
        <v>jdymokeje@prnewswire.com</v>
      </c>
      <c r="H741" s="2" t="str">
        <f>_xlfn.XLOOKUP(orders!C741,customers!$A$2:$A$1001,customers!$G$2:$G$1001,0)</f>
        <v>Ireland</v>
      </c>
      <c r="I741" t="str">
        <f>INDEX(products!$A$1:$G$49,MATCH(orders!$D741,products!$A$1:$A$49,0),MATCH($I$1,products!$A$1:$G$1,0))</f>
        <v>Exc</v>
      </c>
      <c r="J741" t="str">
        <f>INDEX(products!$A$1:$G$49,MATCH(orders!$D741,products!$A$1:$A$49,0),MATCH($J$1,products!$A$1:$G$1,0))</f>
        <v>D</v>
      </c>
      <c r="K741" s="1">
        <f>INDEX(products!$A$1:$G$49,MATCH(orders!$D741,products!$A$1:$A$49,0),MATCH($K$1,products!$A$1:$G$1,0))</f>
        <v>0.2</v>
      </c>
      <c r="L741">
        <f>INDEX(products!$A$1:$G$49,MATCH(orders!$D741,products!$A$1:$A$49,0),MATCH($L$1,products!$A$1:$G$1,0))</f>
        <v>3.645</v>
      </c>
      <c r="M741">
        <f t="shared" si="34"/>
        <v>18.225000000000001</v>
      </c>
      <c r="N741" t="str">
        <f t="shared" si="35"/>
        <v>Excelsa</v>
      </c>
      <c r="O741" t="str">
        <f t="shared" si="36"/>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_xlfn.XLOOKUP(C742,customers!$A$2:$A$1001,customers!$B$2:$B$1001,0)</f>
        <v>Kandace Cragell</v>
      </c>
      <c r="G742" s="2" t="str">
        <f>_xlfn.XLOOKUP(C742,customers!$A$2:$A$1001,customers!$C$2:$C$1001,0)</f>
        <v>kcragellkk@google.com</v>
      </c>
      <c r="H742" s="2" t="str">
        <f>_xlfn.XLOOKUP(orders!C742,customers!$A$2:$A$1001,customers!$G$2:$G$1001,0)</f>
        <v>Ireland</v>
      </c>
      <c r="I742" t="str">
        <f>INDEX(products!$A$1:$G$49,MATCH(orders!$D742,products!$A$1:$A$49,0),MATCH($I$1,products!$A$1:$G$1,0))</f>
        <v>Rob</v>
      </c>
      <c r="J742" t="str">
        <f>INDEX(products!$A$1:$G$49,MATCH(orders!$D742,products!$A$1:$A$49,0),MATCH($J$1,products!$A$1:$G$1,0))</f>
        <v>L</v>
      </c>
      <c r="K742" s="1">
        <f>INDEX(products!$A$1:$G$49,MATCH(orders!$D742,products!$A$1:$A$49,0),MATCH($K$1,products!$A$1:$G$1,0))</f>
        <v>0.5</v>
      </c>
      <c r="L742">
        <f>INDEX(products!$A$1:$G$49,MATCH(orders!$D742,products!$A$1:$A$49,0),MATCH($L$1,products!$A$1:$G$1,0))</f>
        <v>7.169999999999999</v>
      </c>
      <c r="M742">
        <f t="shared" si="34"/>
        <v>28.679999999999996</v>
      </c>
      <c r="N742" t="str">
        <f t="shared" si="35"/>
        <v>Robusta</v>
      </c>
      <c r="O742" t="str">
        <f t="shared" si="36"/>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_xlfn.XLOOKUP(C743,customers!$A$2:$A$1001,customers!$B$2:$B$1001,0)</f>
        <v>Lyon Ibert</v>
      </c>
      <c r="G743" s="2" t="str">
        <f>_xlfn.XLOOKUP(C743,customers!$A$2:$A$1001,customers!$C$2:$C$1001,0)</f>
        <v>libertkl@huffingtonpost.com</v>
      </c>
      <c r="H743" s="2" t="str">
        <f>_xlfn.XLOOKUP(orders!C743,customers!$A$2:$A$1001,customers!$G$2:$G$1001,0)</f>
        <v>United States</v>
      </c>
      <c r="I743" t="str">
        <f>INDEX(products!$A$1:$G$49,MATCH(orders!$D743,products!$A$1:$A$49,0),MATCH($I$1,products!$A$1:$G$1,0))</f>
        <v>Lib</v>
      </c>
      <c r="J743" t="str">
        <f>INDEX(products!$A$1:$G$49,MATCH(orders!$D743,products!$A$1:$A$49,0),MATCH($J$1,products!$A$1:$G$1,0))</f>
        <v>M</v>
      </c>
      <c r="K743" s="1">
        <f>INDEX(products!$A$1:$G$49,MATCH(orders!$D743,products!$A$1:$A$49,0),MATCH($K$1,products!$A$1:$G$1,0))</f>
        <v>0.2</v>
      </c>
      <c r="L743">
        <f>INDEX(products!$A$1:$G$49,MATCH(orders!$D743,products!$A$1:$A$49,0),MATCH($L$1,products!$A$1:$G$1,0))</f>
        <v>4.3650000000000002</v>
      </c>
      <c r="M743">
        <f t="shared" si="34"/>
        <v>8.73</v>
      </c>
      <c r="N743" t="str">
        <f t="shared" si="35"/>
        <v>Liberica</v>
      </c>
      <c r="O743" t="str">
        <f t="shared" si="36"/>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_xlfn.XLOOKUP(C744,customers!$A$2:$A$1001,customers!$B$2:$B$1001,0)</f>
        <v>Reese Lidgey</v>
      </c>
      <c r="G744" s="2" t="str">
        <f>_xlfn.XLOOKUP(C744,customers!$A$2:$A$1001,customers!$C$2:$C$1001,0)</f>
        <v>rlidgeykm@vimeo.com</v>
      </c>
      <c r="H744" s="2" t="str">
        <f>_xlfn.XLOOKUP(orders!C744,customers!$A$2:$A$1001,customers!$G$2:$G$1001,0)</f>
        <v>United States</v>
      </c>
      <c r="I744" t="str">
        <f>INDEX(products!$A$1:$G$49,MATCH(orders!$D744,products!$A$1:$A$49,0),MATCH($I$1,products!$A$1:$G$1,0))</f>
        <v>Lib</v>
      </c>
      <c r="J744" t="str">
        <f>INDEX(products!$A$1:$G$49,MATCH(orders!$D744,products!$A$1:$A$49,0),MATCH($J$1,products!$A$1:$G$1,0))</f>
        <v>M</v>
      </c>
      <c r="K744" s="1">
        <f>INDEX(products!$A$1:$G$49,MATCH(orders!$D744,products!$A$1:$A$49,0),MATCH($K$1,products!$A$1:$G$1,0))</f>
        <v>1</v>
      </c>
      <c r="L744">
        <f>INDEX(products!$A$1:$G$49,MATCH(orders!$D744,products!$A$1:$A$49,0),MATCH($L$1,products!$A$1:$G$1,0))</f>
        <v>14.55</v>
      </c>
      <c r="M744">
        <f t="shared" si="34"/>
        <v>58.2</v>
      </c>
      <c r="N744" t="str">
        <f t="shared" si="35"/>
        <v>Liberica</v>
      </c>
      <c r="O744" t="str">
        <f t="shared" si="36"/>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_xlfn.XLOOKUP(C745,customers!$A$2:$A$1001,customers!$B$2:$B$1001,0)</f>
        <v>Tersina Castagne</v>
      </c>
      <c r="G745" s="2" t="str">
        <f>_xlfn.XLOOKUP(C745,customers!$A$2:$A$1001,customers!$C$2:$C$1001,0)</f>
        <v>tcastagnekn@wikia.com</v>
      </c>
      <c r="H745" s="2" t="str">
        <f>_xlfn.XLOOKUP(orders!C745,customers!$A$2:$A$1001,customers!$G$2:$G$1001,0)</f>
        <v>United States</v>
      </c>
      <c r="I745" t="str">
        <f>INDEX(products!$A$1:$G$49,MATCH(orders!$D745,products!$A$1:$A$49,0),MATCH($I$1,products!$A$1:$G$1,0))</f>
        <v>Ara</v>
      </c>
      <c r="J745" t="str">
        <f>INDEX(products!$A$1:$G$49,MATCH(orders!$D745,products!$A$1:$A$49,0),MATCH($J$1,products!$A$1:$G$1,0))</f>
        <v>D</v>
      </c>
      <c r="K745" s="1">
        <f>INDEX(products!$A$1:$G$49,MATCH(orders!$D745,products!$A$1:$A$49,0),MATCH($K$1,products!$A$1:$G$1,0))</f>
        <v>0.5</v>
      </c>
      <c r="L745">
        <f>INDEX(products!$A$1:$G$49,MATCH(orders!$D745,products!$A$1:$A$49,0),MATCH($L$1,products!$A$1:$G$1,0))</f>
        <v>5.97</v>
      </c>
      <c r="M745">
        <f t="shared" si="34"/>
        <v>17.91</v>
      </c>
      <c r="N745" t="str">
        <f t="shared" si="35"/>
        <v>Arabica</v>
      </c>
      <c r="O745" t="str">
        <f t="shared" si="36"/>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_xlfn.XLOOKUP(C746,customers!$A$2:$A$1001,customers!$B$2:$B$1001,0)</f>
        <v>Samuele Klaaassen</v>
      </c>
      <c r="G746" s="2">
        <f>_xlfn.XLOOKUP(C746,customers!$A$2:$A$1001,customers!$C$2:$C$1001,0)</f>
        <v>0</v>
      </c>
      <c r="H746" s="2" t="str">
        <f>_xlfn.XLOOKUP(orders!C746,customers!$A$2:$A$1001,customers!$G$2:$G$1001,0)</f>
        <v>United States</v>
      </c>
      <c r="I746" t="str">
        <f>INDEX(products!$A$1:$G$49,MATCH(orders!$D746,products!$A$1:$A$49,0),MATCH($I$1,products!$A$1:$G$1,0))</f>
        <v>Rob</v>
      </c>
      <c r="J746" t="str">
        <f>INDEX(products!$A$1:$G$49,MATCH(orders!$D746,products!$A$1:$A$49,0),MATCH($J$1,products!$A$1:$G$1,0))</f>
        <v>M</v>
      </c>
      <c r="K746" s="1">
        <f>INDEX(products!$A$1:$G$49,MATCH(orders!$D746,products!$A$1:$A$49,0),MATCH($K$1,products!$A$1:$G$1,0))</f>
        <v>0.2</v>
      </c>
      <c r="L746">
        <f>INDEX(products!$A$1:$G$49,MATCH(orders!$D746,products!$A$1:$A$49,0),MATCH($L$1,products!$A$1:$G$1,0))</f>
        <v>2.9849999999999999</v>
      </c>
      <c r="M746">
        <f t="shared" si="34"/>
        <v>17.91</v>
      </c>
      <c r="N746" t="str">
        <f t="shared" si="35"/>
        <v>Robusta</v>
      </c>
      <c r="O746" t="str">
        <f t="shared" si="36"/>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_xlfn.XLOOKUP(C747,customers!$A$2:$A$1001,customers!$B$2:$B$1001,0)</f>
        <v>Jordana Halden</v>
      </c>
      <c r="G747" s="2" t="str">
        <f>_xlfn.XLOOKUP(C747,customers!$A$2:$A$1001,customers!$C$2:$C$1001,0)</f>
        <v>jhaldenkp@comcast.net</v>
      </c>
      <c r="H747" s="2" t="str">
        <f>_xlfn.XLOOKUP(orders!C747,customers!$A$2:$A$1001,customers!$G$2:$G$1001,0)</f>
        <v>Ireland</v>
      </c>
      <c r="I747" t="str">
        <f>INDEX(products!$A$1:$G$49,MATCH(orders!$D747,products!$A$1:$A$49,0),MATCH($I$1,products!$A$1:$G$1,0))</f>
        <v>Exc</v>
      </c>
      <c r="J747" t="str">
        <f>INDEX(products!$A$1:$G$49,MATCH(orders!$D747,products!$A$1:$A$49,0),MATCH($J$1,products!$A$1:$G$1,0))</f>
        <v>D</v>
      </c>
      <c r="K747" s="1">
        <f>INDEX(products!$A$1:$G$49,MATCH(orders!$D747,products!$A$1:$A$49,0),MATCH($K$1,products!$A$1:$G$1,0))</f>
        <v>0.5</v>
      </c>
      <c r="L747">
        <f>INDEX(products!$A$1:$G$49,MATCH(orders!$D747,products!$A$1:$A$49,0),MATCH($L$1,products!$A$1:$G$1,0))</f>
        <v>7.29</v>
      </c>
      <c r="M747">
        <f t="shared" si="34"/>
        <v>14.58</v>
      </c>
      <c r="N747" t="str">
        <f t="shared" si="35"/>
        <v>Excelsa</v>
      </c>
      <c r="O747" t="str">
        <f t="shared" si="36"/>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_xlfn.XLOOKUP(C748,customers!$A$2:$A$1001,customers!$B$2:$B$1001,0)</f>
        <v>Hussein Olliff</v>
      </c>
      <c r="G748" s="2" t="str">
        <f>_xlfn.XLOOKUP(C748,customers!$A$2:$A$1001,customers!$C$2:$C$1001,0)</f>
        <v>holliffkq@sciencedirect.com</v>
      </c>
      <c r="H748" s="2" t="str">
        <f>_xlfn.XLOOKUP(orders!C748,customers!$A$2:$A$1001,customers!$G$2:$G$1001,0)</f>
        <v>Ireland</v>
      </c>
      <c r="I748" t="str">
        <f>INDEX(products!$A$1:$G$49,MATCH(orders!$D748,products!$A$1:$A$49,0),MATCH($I$1,products!$A$1:$G$1,0))</f>
        <v>Ara</v>
      </c>
      <c r="J748" t="str">
        <f>INDEX(products!$A$1:$G$49,MATCH(orders!$D748,products!$A$1:$A$49,0),MATCH($J$1,products!$A$1:$G$1,0))</f>
        <v>M</v>
      </c>
      <c r="K748" s="1">
        <f>INDEX(products!$A$1:$G$49,MATCH(orders!$D748,products!$A$1:$A$49,0),MATCH($K$1,products!$A$1:$G$1,0))</f>
        <v>1</v>
      </c>
      <c r="L748">
        <f>INDEX(products!$A$1:$G$49,MATCH(orders!$D748,products!$A$1:$A$49,0),MATCH($L$1,products!$A$1:$G$1,0))</f>
        <v>11.25</v>
      </c>
      <c r="M748">
        <f t="shared" si="34"/>
        <v>33.75</v>
      </c>
      <c r="N748" t="str">
        <f t="shared" si="35"/>
        <v>Arabica</v>
      </c>
      <c r="O748" t="str">
        <f t="shared" si="36"/>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_xlfn.XLOOKUP(C749,customers!$A$2:$A$1001,customers!$B$2:$B$1001,0)</f>
        <v>Teddi Quadri</v>
      </c>
      <c r="G749" s="2" t="str">
        <f>_xlfn.XLOOKUP(C749,customers!$A$2:$A$1001,customers!$C$2:$C$1001,0)</f>
        <v>tquadrikr@opensource.org</v>
      </c>
      <c r="H749" s="2" t="str">
        <f>_xlfn.XLOOKUP(orders!C749,customers!$A$2:$A$1001,customers!$G$2:$G$1001,0)</f>
        <v>Ireland</v>
      </c>
      <c r="I749" t="str">
        <f>INDEX(products!$A$1:$G$49,MATCH(orders!$D749,products!$A$1:$A$49,0),MATCH($I$1,products!$A$1:$G$1,0))</f>
        <v>Lib</v>
      </c>
      <c r="J749" t="str">
        <f>INDEX(products!$A$1:$G$49,MATCH(orders!$D749,products!$A$1:$A$49,0),MATCH($J$1,products!$A$1:$G$1,0))</f>
        <v>M</v>
      </c>
      <c r="K749" s="1">
        <f>INDEX(products!$A$1:$G$49,MATCH(orders!$D749,products!$A$1:$A$49,0),MATCH($K$1,products!$A$1:$G$1,0))</f>
        <v>0.5</v>
      </c>
      <c r="L749">
        <f>INDEX(products!$A$1:$G$49,MATCH(orders!$D749,products!$A$1:$A$49,0),MATCH($L$1,products!$A$1:$G$1,0))</f>
        <v>8.73</v>
      </c>
      <c r="M749">
        <f t="shared" si="34"/>
        <v>34.92</v>
      </c>
      <c r="N749" t="str">
        <f t="shared" si="35"/>
        <v>Liberica</v>
      </c>
      <c r="O749" t="str">
        <f t="shared" si="36"/>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_xlfn.XLOOKUP(C750,customers!$A$2:$A$1001,customers!$B$2:$B$1001,0)</f>
        <v>Felita Eshmade</v>
      </c>
      <c r="G750" s="2" t="str">
        <f>_xlfn.XLOOKUP(C750,customers!$A$2:$A$1001,customers!$C$2:$C$1001,0)</f>
        <v>feshmadeks@umn.edu</v>
      </c>
      <c r="H750" s="2" t="str">
        <f>_xlfn.XLOOKUP(orders!C750,customers!$A$2:$A$1001,customers!$G$2:$G$1001,0)</f>
        <v>United States</v>
      </c>
      <c r="I750" t="str">
        <f>INDEX(products!$A$1:$G$49,MATCH(orders!$D750,products!$A$1:$A$49,0),MATCH($I$1,products!$A$1:$G$1,0))</f>
        <v>Exc</v>
      </c>
      <c r="J750" t="str">
        <f>INDEX(products!$A$1:$G$49,MATCH(orders!$D750,products!$A$1:$A$49,0),MATCH($J$1,products!$A$1:$G$1,0))</f>
        <v>D</v>
      </c>
      <c r="K750" s="1">
        <f>INDEX(products!$A$1:$G$49,MATCH(orders!$D750,products!$A$1:$A$49,0),MATCH($K$1,products!$A$1:$G$1,0))</f>
        <v>0.5</v>
      </c>
      <c r="L750">
        <f>INDEX(products!$A$1:$G$49,MATCH(orders!$D750,products!$A$1:$A$49,0),MATCH($L$1,products!$A$1:$G$1,0))</f>
        <v>7.29</v>
      </c>
      <c r="M750">
        <f t="shared" si="34"/>
        <v>14.58</v>
      </c>
      <c r="N750" t="str">
        <f t="shared" si="35"/>
        <v>Excelsa</v>
      </c>
      <c r="O750" t="str">
        <f t="shared" si="36"/>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_xlfn.XLOOKUP(C751,customers!$A$2:$A$1001,customers!$B$2:$B$1001,0)</f>
        <v>Melodie OIlier</v>
      </c>
      <c r="G751" s="2" t="str">
        <f>_xlfn.XLOOKUP(C751,customers!$A$2:$A$1001,customers!$C$2:$C$1001,0)</f>
        <v>moilierkt@paginegialle.it</v>
      </c>
      <c r="H751" s="2" t="str">
        <f>_xlfn.XLOOKUP(orders!C751,customers!$A$2:$A$1001,customers!$G$2:$G$1001,0)</f>
        <v>Ireland</v>
      </c>
      <c r="I751" t="str">
        <f>INDEX(products!$A$1:$G$49,MATCH(orders!$D751,products!$A$1:$A$49,0),MATCH($I$1,products!$A$1:$G$1,0))</f>
        <v>Rob</v>
      </c>
      <c r="J751" t="str">
        <f>INDEX(products!$A$1:$G$49,MATCH(orders!$D751,products!$A$1:$A$49,0),MATCH($J$1,products!$A$1:$G$1,0))</f>
        <v>D</v>
      </c>
      <c r="K751" s="1">
        <f>INDEX(products!$A$1:$G$49,MATCH(orders!$D751,products!$A$1:$A$49,0),MATCH($K$1,products!$A$1:$G$1,0))</f>
        <v>0.2</v>
      </c>
      <c r="L751">
        <f>INDEX(products!$A$1:$G$49,MATCH(orders!$D751,products!$A$1:$A$49,0),MATCH($L$1,products!$A$1:$G$1,0))</f>
        <v>2.6849999999999996</v>
      </c>
      <c r="M751">
        <f t="shared" si="34"/>
        <v>5.3699999999999992</v>
      </c>
      <c r="N751" t="str">
        <f t="shared" si="35"/>
        <v>Robusta</v>
      </c>
      <c r="O751" t="str">
        <f t="shared" si="36"/>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_xlfn.XLOOKUP(C752,customers!$A$2:$A$1001,customers!$B$2:$B$1001,0)</f>
        <v>Hazel Iacopini</v>
      </c>
      <c r="G752" s="2">
        <f>_xlfn.XLOOKUP(C752,customers!$A$2:$A$1001,customers!$C$2:$C$1001,0)</f>
        <v>0</v>
      </c>
      <c r="H752" s="2" t="str">
        <f>_xlfn.XLOOKUP(orders!C752,customers!$A$2:$A$1001,customers!$G$2:$G$1001,0)</f>
        <v>United States</v>
      </c>
      <c r="I752" t="str">
        <f>INDEX(products!$A$1:$G$49,MATCH(orders!$D752,products!$A$1:$A$49,0),MATCH($I$1,products!$A$1:$G$1,0))</f>
        <v>Rob</v>
      </c>
      <c r="J752" t="str">
        <f>INDEX(products!$A$1:$G$49,MATCH(orders!$D752,products!$A$1:$A$49,0),MATCH($J$1,products!$A$1:$G$1,0))</f>
        <v>M</v>
      </c>
      <c r="K752" s="1">
        <f>INDEX(products!$A$1:$G$49,MATCH(orders!$D752,products!$A$1:$A$49,0),MATCH($K$1,products!$A$1:$G$1,0))</f>
        <v>0.5</v>
      </c>
      <c r="L752">
        <f>INDEX(products!$A$1:$G$49,MATCH(orders!$D752,products!$A$1:$A$49,0),MATCH($L$1,products!$A$1:$G$1,0))</f>
        <v>5.97</v>
      </c>
      <c r="M752">
        <f t="shared" si="34"/>
        <v>5.97</v>
      </c>
      <c r="N752" t="str">
        <f t="shared" si="35"/>
        <v>Robusta</v>
      </c>
      <c r="O752" t="str">
        <f t="shared" si="36"/>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_xlfn.XLOOKUP(C753,customers!$A$2:$A$1001,customers!$B$2:$B$1001,0)</f>
        <v>Vinny Shoebotham</v>
      </c>
      <c r="G753" s="2" t="str">
        <f>_xlfn.XLOOKUP(C753,customers!$A$2:$A$1001,customers!$C$2:$C$1001,0)</f>
        <v>vshoebothamkv@redcross.org</v>
      </c>
      <c r="H753" s="2" t="str">
        <f>_xlfn.XLOOKUP(orders!C753,customers!$A$2:$A$1001,customers!$G$2:$G$1001,0)</f>
        <v>United States</v>
      </c>
      <c r="I753" t="str">
        <f>INDEX(products!$A$1:$G$49,MATCH(orders!$D753,products!$A$1:$A$49,0),MATCH($I$1,products!$A$1:$G$1,0))</f>
        <v>Lib</v>
      </c>
      <c r="J753" t="str">
        <f>INDEX(products!$A$1:$G$49,MATCH(orders!$D753,products!$A$1:$A$49,0),MATCH($J$1,products!$A$1:$G$1,0))</f>
        <v>L</v>
      </c>
      <c r="K753" s="1">
        <f>INDEX(products!$A$1:$G$49,MATCH(orders!$D753,products!$A$1:$A$49,0),MATCH($K$1,products!$A$1:$G$1,0))</f>
        <v>0.5</v>
      </c>
      <c r="L753">
        <f>INDEX(products!$A$1:$G$49,MATCH(orders!$D753,products!$A$1:$A$49,0),MATCH($L$1,products!$A$1:$G$1,0))</f>
        <v>9.51</v>
      </c>
      <c r="M753">
        <f t="shared" si="34"/>
        <v>19.02</v>
      </c>
      <c r="N753" t="str">
        <f t="shared" si="35"/>
        <v>Liberica</v>
      </c>
      <c r="O753" t="str">
        <f t="shared" si="36"/>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_xlfn.XLOOKUP(C754,customers!$A$2:$A$1001,customers!$B$2:$B$1001,0)</f>
        <v>Bran Sterke</v>
      </c>
      <c r="G754" s="2" t="str">
        <f>_xlfn.XLOOKUP(C754,customers!$A$2:$A$1001,customers!$C$2:$C$1001,0)</f>
        <v>bsterkekw@biblegateway.com</v>
      </c>
      <c r="H754" s="2" t="str">
        <f>_xlfn.XLOOKUP(orders!C754,customers!$A$2:$A$1001,customers!$G$2:$G$1001,0)</f>
        <v>United States</v>
      </c>
      <c r="I754" t="str">
        <f>INDEX(products!$A$1:$G$49,MATCH(orders!$D754,products!$A$1:$A$49,0),MATCH($I$1,products!$A$1:$G$1,0))</f>
        <v>Exc</v>
      </c>
      <c r="J754" t="str">
        <f>INDEX(products!$A$1:$G$49,MATCH(orders!$D754,products!$A$1:$A$49,0),MATCH($J$1,products!$A$1:$G$1,0))</f>
        <v>M</v>
      </c>
      <c r="K754" s="1">
        <f>INDEX(products!$A$1:$G$49,MATCH(orders!$D754,products!$A$1:$A$49,0),MATCH($K$1,products!$A$1:$G$1,0))</f>
        <v>1</v>
      </c>
      <c r="L754">
        <f>INDEX(products!$A$1:$G$49,MATCH(orders!$D754,products!$A$1:$A$49,0),MATCH($L$1,products!$A$1:$G$1,0))</f>
        <v>13.75</v>
      </c>
      <c r="M754">
        <f t="shared" si="34"/>
        <v>27.5</v>
      </c>
      <c r="N754" t="str">
        <f t="shared" si="35"/>
        <v>Excelsa</v>
      </c>
      <c r="O754" t="str">
        <f t="shared" si="36"/>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_xlfn.XLOOKUP(C755,customers!$A$2:$A$1001,customers!$B$2:$B$1001,0)</f>
        <v>Simone Capon</v>
      </c>
      <c r="G755" s="2" t="str">
        <f>_xlfn.XLOOKUP(C755,customers!$A$2:$A$1001,customers!$C$2:$C$1001,0)</f>
        <v>scaponkx@craigslist.org</v>
      </c>
      <c r="H755" s="2" t="str">
        <f>_xlfn.XLOOKUP(orders!C755,customers!$A$2:$A$1001,customers!$G$2:$G$1001,0)</f>
        <v>United States</v>
      </c>
      <c r="I755" t="str">
        <f>INDEX(products!$A$1:$G$49,MATCH(orders!$D755,products!$A$1:$A$49,0),MATCH($I$1,products!$A$1:$G$1,0))</f>
        <v>Ara</v>
      </c>
      <c r="J755" t="str">
        <f>INDEX(products!$A$1:$G$49,MATCH(orders!$D755,products!$A$1:$A$49,0),MATCH($J$1,products!$A$1:$G$1,0))</f>
        <v>D</v>
      </c>
      <c r="K755" s="1">
        <f>INDEX(products!$A$1:$G$49,MATCH(orders!$D755,products!$A$1:$A$49,0),MATCH($K$1,products!$A$1:$G$1,0))</f>
        <v>0.5</v>
      </c>
      <c r="L755">
        <f>INDEX(products!$A$1:$G$49,MATCH(orders!$D755,products!$A$1:$A$49,0),MATCH($L$1,products!$A$1:$G$1,0))</f>
        <v>5.97</v>
      </c>
      <c r="M755">
        <f t="shared" si="34"/>
        <v>29.849999999999998</v>
      </c>
      <c r="N755" t="str">
        <f t="shared" si="35"/>
        <v>Arabica</v>
      </c>
      <c r="O755" t="str">
        <f t="shared" si="36"/>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_xlfn.XLOOKUP(C756,customers!$A$2:$A$1001,customers!$B$2:$B$1001,0)</f>
        <v>Jimmy Dymoke</v>
      </c>
      <c r="G756" s="2" t="str">
        <f>_xlfn.XLOOKUP(C756,customers!$A$2:$A$1001,customers!$C$2:$C$1001,0)</f>
        <v>jdymokeje@prnewswire.com</v>
      </c>
      <c r="H756" s="2" t="str">
        <f>_xlfn.XLOOKUP(orders!C756,customers!$A$2:$A$1001,customers!$G$2:$G$1001,0)</f>
        <v>Ireland</v>
      </c>
      <c r="I756" t="str">
        <f>INDEX(products!$A$1:$G$49,MATCH(orders!$D756,products!$A$1:$A$49,0),MATCH($I$1,products!$A$1:$G$1,0))</f>
        <v>Ara</v>
      </c>
      <c r="J756" t="str">
        <f>INDEX(products!$A$1:$G$49,MATCH(orders!$D756,products!$A$1:$A$49,0),MATCH($J$1,products!$A$1:$G$1,0))</f>
        <v>D</v>
      </c>
      <c r="K756" s="1">
        <f>INDEX(products!$A$1:$G$49,MATCH(orders!$D756,products!$A$1:$A$49,0),MATCH($K$1,products!$A$1:$G$1,0))</f>
        <v>0.2</v>
      </c>
      <c r="L756">
        <f>INDEX(products!$A$1:$G$49,MATCH(orders!$D756,products!$A$1:$A$49,0),MATCH($L$1,products!$A$1:$G$1,0))</f>
        <v>2.9849999999999999</v>
      </c>
      <c r="M756">
        <f t="shared" si="34"/>
        <v>17.91</v>
      </c>
      <c r="N756" t="str">
        <f t="shared" si="35"/>
        <v>Arabica</v>
      </c>
      <c r="O756" t="str">
        <f t="shared" si="36"/>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_xlfn.XLOOKUP(C757,customers!$A$2:$A$1001,customers!$B$2:$B$1001,0)</f>
        <v>Foster Constance</v>
      </c>
      <c r="G757" s="2" t="str">
        <f>_xlfn.XLOOKUP(C757,customers!$A$2:$A$1001,customers!$C$2:$C$1001,0)</f>
        <v>fconstancekz@ifeng.com</v>
      </c>
      <c r="H757" s="2" t="str">
        <f>_xlfn.XLOOKUP(orders!C757,customers!$A$2:$A$1001,customers!$G$2:$G$1001,0)</f>
        <v>United States</v>
      </c>
      <c r="I757" t="str">
        <f>INDEX(products!$A$1:$G$49,MATCH(orders!$D757,products!$A$1:$A$49,0),MATCH($I$1,products!$A$1:$G$1,0))</f>
        <v>Lib</v>
      </c>
      <c r="J757" t="str">
        <f>INDEX(products!$A$1:$G$49,MATCH(orders!$D757,products!$A$1:$A$49,0),MATCH($J$1,products!$A$1:$G$1,0))</f>
        <v>L</v>
      </c>
      <c r="K757" s="1">
        <f>INDEX(products!$A$1:$G$49,MATCH(orders!$D757,products!$A$1:$A$49,0),MATCH($K$1,products!$A$1:$G$1,0))</f>
        <v>0.2</v>
      </c>
      <c r="L757">
        <f>INDEX(products!$A$1:$G$49,MATCH(orders!$D757,products!$A$1:$A$49,0),MATCH($L$1,products!$A$1:$G$1,0))</f>
        <v>4.7549999999999999</v>
      </c>
      <c r="M757">
        <f t="shared" si="34"/>
        <v>28.53</v>
      </c>
      <c r="N757" t="str">
        <f t="shared" si="35"/>
        <v>Liberica</v>
      </c>
      <c r="O757" t="str">
        <f t="shared" si="36"/>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_xlfn.XLOOKUP(C758,customers!$A$2:$A$1001,customers!$B$2:$B$1001,0)</f>
        <v>Fernando Sulman</v>
      </c>
      <c r="G758" s="2" t="str">
        <f>_xlfn.XLOOKUP(C758,customers!$A$2:$A$1001,customers!$C$2:$C$1001,0)</f>
        <v>fsulmanl0@washington.edu</v>
      </c>
      <c r="H758" s="2" t="str">
        <f>_xlfn.XLOOKUP(orders!C758,customers!$A$2:$A$1001,customers!$G$2:$G$1001,0)</f>
        <v>United States</v>
      </c>
      <c r="I758" t="str">
        <f>INDEX(products!$A$1:$G$49,MATCH(orders!$D758,products!$A$1:$A$49,0),MATCH($I$1,products!$A$1:$G$1,0))</f>
        <v>Rob</v>
      </c>
      <c r="J758" t="str">
        <f>INDEX(products!$A$1:$G$49,MATCH(orders!$D758,products!$A$1:$A$49,0),MATCH($J$1,products!$A$1:$G$1,0))</f>
        <v>D</v>
      </c>
      <c r="K758" s="1">
        <f>INDEX(products!$A$1:$G$49,MATCH(orders!$D758,products!$A$1:$A$49,0),MATCH($K$1,products!$A$1:$G$1,0))</f>
        <v>1</v>
      </c>
      <c r="L758">
        <f>INDEX(products!$A$1:$G$49,MATCH(orders!$D758,products!$A$1:$A$49,0),MATCH($L$1,products!$A$1:$G$1,0))</f>
        <v>8.9499999999999993</v>
      </c>
      <c r="M758">
        <f t="shared" si="34"/>
        <v>35.799999999999997</v>
      </c>
      <c r="N758" t="str">
        <f t="shared" si="35"/>
        <v>Robusta</v>
      </c>
      <c r="O758" t="str">
        <f t="shared" si="36"/>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_xlfn.XLOOKUP(C759,customers!$A$2:$A$1001,customers!$B$2:$B$1001,0)</f>
        <v>Dorotea Hollyman</v>
      </c>
      <c r="G759" s="2" t="str">
        <f>_xlfn.XLOOKUP(C759,customers!$A$2:$A$1001,customers!$C$2:$C$1001,0)</f>
        <v>dhollymanl1@ibm.com</v>
      </c>
      <c r="H759" s="2" t="str">
        <f>_xlfn.XLOOKUP(orders!C759,customers!$A$2:$A$1001,customers!$G$2:$G$1001,0)</f>
        <v>United States</v>
      </c>
      <c r="I759" t="str">
        <f>INDEX(products!$A$1:$G$49,MATCH(orders!$D759,products!$A$1:$A$49,0),MATCH($I$1,products!$A$1:$G$1,0))</f>
        <v>Ara</v>
      </c>
      <c r="J759" t="str">
        <f>INDEX(products!$A$1:$G$49,MATCH(orders!$D759,products!$A$1:$A$49,0),MATCH($J$1,products!$A$1:$G$1,0))</f>
        <v>D</v>
      </c>
      <c r="K759" s="1">
        <f>INDEX(products!$A$1:$G$49,MATCH(orders!$D759,products!$A$1:$A$49,0),MATCH($K$1,products!$A$1:$G$1,0))</f>
        <v>0.5</v>
      </c>
      <c r="L759">
        <f>INDEX(products!$A$1:$G$49,MATCH(orders!$D759,products!$A$1:$A$49,0),MATCH($L$1,products!$A$1:$G$1,0))</f>
        <v>5.97</v>
      </c>
      <c r="M759">
        <f t="shared" si="34"/>
        <v>17.91</v>
      </c>
      <c r="N759" t="str">
        <f t="shared" si="35"/>
        <v>Arabica</v>
      </c>
      <c r="O759" t="str">
        <f t="shared" si="36"/>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_xlfn.XLOOKUP(C760,customers!$A$2:$A$1001,customers!$B$2:$B$1001,0)</f>
        <v>Lorelei Nardoni</v>
      </c>
      <c r="G760" s="2" t="str">
        <f>_xlfn.XLOOKUP(C760,customers!$A$2:$A$1001,customers!$C$2:$C$1001,0)</f>
        <v>lnardonil2@hao123.com</v>
      </c>
      <c r="H760" s="2" t="str">
        <f>_xlfn.XLOOKUP(orders!C760,customers!$A$2:$A$1001,customers!$G$2:$G$1001,0)</f>
        <v>United States</v>
      </c>
      <c r="I760" t="str">
        <f>INDEX(products!$A$1:$G$49,MATCH(orders!$D760,products!$A$1:$A$49,0),MATCH($I$1,products!$A$1:$G$1,0))</f>
        <v>Rob</v>
      </c>
      <c r="J760" t="str">
        <f>INDEX(products!$A$1:$G$49,MATCH(orders!$D760,products!$A$1:$A$49,0),MATCH($J$1,products!$A$1:$G$1,0))</f>
        <v>D</v>
      </c>
      <c r="K760" s="1">
        <f>INDEX(products!$A$1:$G$49,MATCH(orders!$D760,products!$A$1:$A$49,0),MATCH($K$1,products!$A$1:$G$1,0))</f>
        <v>1</v>
      </c>
      <c r="L760">
        <f>INDEX(products!$A$1:$G$49,MATCH(orders!$D760,products!$A$1:$A$49,0),MATCH($L$1,products!$A$1:$G$1,0))</f>
        <v>8.9499999999999993</v>
      </c>
      <c r="M760">
        <f t="shared" si="34"/>
        <v>8.9499999999999993</v>
      </c>
      <c r="N760" t="str">
        <f t="shared" si="35"/>
        <v>Robusta</v>
      </c>
      <c r="O760" t="str">
        <f t="shared" si="36"/>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_xlfn.XLOOKUP(C761,customers!$A$2:$A$1001,customers!$B$2:$B$1001,0)</f>
        <v>Dallas Yarham</v>
      </c>
      <c r="G761" s="2" t="str">
        <f>_xlfn.XLOOKUP(C761,customers!$A$2:$A$1001,customers!$C$2:$C$1001,0)</f>
        <v>dyarhaml3@moonfruit.com</v>
      </c>
      <c r="H761" s="2" t="str">
        <f>_xlfn.XLOOKUP(orders!C761,customers!$A$2:$A$1001,customers!$G$2:$G$1001,0)</f>
        <v>United States</v>
      </c>
      <c r="I761" t="str">
        <f>INDEX(products!$A$1:$G$49,MATCH(orders!$D761,products!$A$1:$A$49,0),MATCH($I$1,products!$A$1:$G$1,0))</f>
        <v>Lib</v>
      </c>
      <c r="J761" t="str">
        <f>INDEX(products!$A$1:$G$49,MATCH(orders!$D761,products!$A$1:$A$49,0),MATCH($J$1,products!$A$1:$G$1,0))</f>
        <v>D</v>
      </c>
      <c r="K761" s="1">
        <f>INDEX(products!$A$1:$G$49,MATCH(orders!$D761,products!$A$1:$A$49,0),MATCH($K$1,products!$A$1:$G$1,0))</f>
        <v>2.5</v>
      </c>
      <c r="L761">
        <f>INDEX(products!$A$1:$G$49,MATCH(orders!$D761,products!$A$1:$A$49,0),MATCH($L$1,products!$A$1:$G$1,0))</f>
        <v>29.784999999999997</v>
      </c>
      <c r="M761">
        <f t="shared" si="34"/>
        <v>29.784999999999997</v>
      </c>
      <c r="N761" t="str">
        <f t="shared" si="35"/>
        <v>Liberica</v>
      </c>
      <c r="O761" t="str">
        <f t="shared" si="36"/>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_xlfn.XLOOKUP(C762,customers!$A$2:$A$1001,customers!$B$2:$B$1001,0)</f>
        <v>Arlana Ferrea</v>
      </c>
      <c r="G762" s="2" t="str">
        <f>_xlfn.XLOOKUP(C762,customers!$A$2:$A$1001,customers!$C$2:$C$1001,0)</f>
        <v>aferreal4@wikia.com</v>
      </c>
      <c r="H762" s="2" t="str">
        <f>_xlfn.XLOOKUP(orders!C762,customers!$A$2:$A$1001,customers!$G$2:$G$1001,0)</f>
        <v>United States</v>
      </c>
      <c r="I762" t="str">
        <f>INDEX(products!$A$1:$G$49,MATCH(orders!$D762,products!$A$1:$A$49,0),MATCH($I$1,products!$A$1:$G$1,0))</f>
        <v>Exc</v>
      </c>
      <c r="J762" t="str">
        <f>INDEX(products!$A$1:$G$49,MATCH(orders!$D762,products!$A$1:$A$49,0),MATCH($J$1,products!$A$1:$G$1,0))</f>
        <v>L</v>
      </c>
      <c r="K762" s="1">
        <f>INDEX(products!$A$1:$G$49,MATCH(orders!$D762,products!$A$1:$A$49,0),MATCH($K$1,products!$A$1:$G$1,0))</f>
        <v>0.5</v>
      </c>
      <c r="L762">
        <f>INDEX(products!$A$1:$G$49,MATCH(orders!$D762,products!$A$1:$A$49,0),MATCH($L$1,products!$A$1:$G$1,0))</f>
        <v>8.91</v>
      </c>
      <c r="M762">
        <f t="shared" si="34"/>
        <v>44.55</v>
      </c>
      <c r="N762" t="str">
        <f t="shared" si="35"/>
        <v>Excelsa</v>
      </c>
      <c r="O762" t="str">
        <f t="shared" si="36"/>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_xlfn.XLOOKUP(C763,customers!$A$2:$A$1001,customers!$B$2:$B$1001,0)</f>
        <v>Chuck Kendrick</v>
      </c>
      <c r="G763" s="2" t="str">
        <f>_xlfn.XLOOKUP(C763,customers!$A$2:$A$1001,customers!$C$2:$C$1001,0)</f>
        <v>ckendrickl5@webnode.com</v>
      </c>
      <c r="H763" s="2" t="str">
        <f>_xlfn.XLOOKUP(orders!C763,customers!$A$2:$A$1001,customers!$G$2:$G$1001,0)</f>
        <v>United States</v>
      </c>
      <c r="I763" t="str">
        <f>INDEX(products!$A$1:$G$49,MATCH(orders!$D763,products!$A$1:$A$49,0),MATCH($I$1,products!$A$1:$G$1,0))</f>
        <v>Exc</v>
      </c>
      <c r="J763" t="str">
        <f>INDEX(products!$A$1:$G$49,MATCH(orders!$D763,products!$A$1:$A$49,0),MATCH($J$1,products!$A$1:$G$1,0))</f>
        <v>L</v>
      </c>
      <c r="K763" s="1">
        <f>INDEX(products!$A$1:$G$49,MATCH(orders!$D763,products!$A$1:$A$49,0),MATCH($K$1,products!$A$1:$G$1,0))</f>
        <v>1</v>
      </c>
      <c r="L763">
        <f>INDEX(products!$A$1:$G$49,MATCH(orders!$D763,products!$A$1:$A$49,0),MATCH($L$1,products!$A$1:$G$1,0))</f>
        <v>14.85</v>
      </c>
      <c r="M763">
        <f t="shared" si="34"/>
        <v>89.1</v>
      </c>
      <c r="N763" t="str">
        <f t="shared" si="35"/>
        <v>Excelsa</v>
      </c>
      <c r="O763" t="str">
        <f t="shared" si="36"/>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_xlfn.XLOOKUP(C764,customers!$A$2:$A$1001,customers!$B$2:$B$1001,0)</f>
        <v>Sharona Danilchik</v>
      </c>
      <c r="G764" s="2" t="str">
        <f>_xlfn.XLOOKUP(C764,customers!$A$2:$A$1001,customers!$C$2:$C$1001,0)</f>
        <v>sdanilchikl6@mit.edu</v>
      </c>
      <c r="H764" s="2" t="str">
        <f>_xlfn.XLOOKUP(orders!C764,customers!$A$2:$A$1001,customers!$G$2:$G$1001,0)</f>
        <v>United Kingdom</v>
      </c>
      <c r="I764" t="str">
        <f>INDEX(products!$A$1:$G$49,MATCH(orders!$D764,products!$A$1:$A$49,0),MATCH($I$1,products!$A$1:$G$1,0))</f>
        <v>Lib</v>
      </c>
      <c r="J764" t="str">
        <f>INDEX(products!$A$1:$G$49,MATCH(orders!$D764,products!$A$1:$A$49,0),MATCH($J$1,products!$A$1:$G$1,0))</f>
        <v>M</v>
      </c>
      <c r="K764" s="1">
        <f>INDEX(products!$A$1:$G$49,MATCH(orders!$D764,products!$A$1:$A$49,0),MATCH($K$1,products!$A$1:$G$1,0))</f>
        <v>0.5</v>
      </c>
      <c r="L764">
        <f>INDEX(products!$A$1:$G$49,MATCH(orders!$D764,products!$A$1:$A$49,0),MATCH($L$1,products!$A$1:$G$1,0))</f>
        <v>8.73</v>
      </c>
      <c r="M764">
        <f t="shared" si="34"/>
        <v>43.650000000000006</v>
      </c>
      <c r="N764" t="str">
        <f t="shared" si="35"/>
        <v>Liberica</v>
      </c>
      <c r="O764" t="str">
        <f t="shared" si="36"/>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_xlfn.XLOOKUP(C765,customers!$A$2:$A$1001,customers!$B$2:$B$1001,0)</f>
        <v>Sarajane Potter</v>
      </c>
      <c r="G765" s="2">
        <f>_xlfn.XLOOKUP(C765,customers!$A$2:$A$1001,customers!$C$2:$C$1001,0)</f>
        <v>0</v>
      </c>
      <c r="H765" s="2" t="str">
        <f>_xlfn.XLOOKUP(orders!C765,customers!$A$2:$A$1001,customers!$G$2:$G$1001,0)</f>
        <v>United States</v>
      </c>
      <c r="I765" t="str">
        <f>INDEX(products!$A$1:$G$49,MATCH(orders!$D765,products!$A$1:$A$49,0),MATCH($I$1,products!$A$1:$G$1,0))</f>
        <v>Ara</v>
      </c>
      <c r="J765" t="str">
        <f>INDEX(products!$A$1:$G$49,MATCH(orders!$D765,products!$A$1:$A$49,0),MATCH($J$1,products!$A$1:$G$1,0))</f>
        <v>L</v>
      </c>
      <c r="K765" s="1">
        <f>INDEX(products!$A$1:$G$49,MATCH(orders!$D765,products!$A$1:$A$49,0),MATCH($K$1,products!$A$1:$G$1,0))</f>
        <v>0.5</v>
      </c>
      <c r="L765">
        <f>INDEX(products!$A$1:$G$49,MATCH(orders!$D765,products!$A$1:$A$49,0),MATCH($L$1,products!$A$1:$G$1,0))</f>
        <v>7.77</v>
      </c>
      <c r="M765">
        <f t="shared" si="34"/>
        <v>23.31</v>
      </c>
      <c r="N765" t="str">
        <f t="shared" si="35"/>
        <v>Arabica</v>
      </c>
      <c r="O765" t="str">
        <f t="shared" si="36"/>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_xlfn.XLOOKUP(C766,customers!$A$2:$A$1001,customers!$B$2:$B$1001,0)</f>
        <v>Bobby Folomkin</v>
      </c>
      <c r="G766" s="2" t="str">
        <f>_xlfn.XLOOKUP(C766,customers!$A$2:$A$1001,customers!$C$2:$C$1001,0)</f>
        <v>bfolomkinl8@yolasite.com</v>
      </c>
      <c r="H766" s="2" t="str">
        <f>_xlfn.XLOOKUP(orders!C766,customers!$A$2:$A$1001,customers!$G$2:$G$1001,0)</f>
        <v>United States</v>
      </c>
      <c r="I766" t="str">
        <f>INDEX(products!$A$1:$G$49,MATCH(orders!$D766,products!$A$1:$A$49,0),MATCH($I$1,products!$A$1:$G$1,0))</f>
        <v>Ara</v>
      </c>
      <c r="J766" t="str">
        <f>INDEX(products!$A$1:$G$49,MATCH(orders!$D766,products!$A$1:$A$49,0),MATCH($J$1,products!$A$1:$G$1,0))</f>
        <v>L</v>
      </c>
      <c r="K766" s="1">
        <f>INDEX(products!$A$1:$G$49,MATCH(orders!$D766,products!$A$1:$A$49,0),MATCH($K$1,products!$A$1:$G$1,0))</f>
        <v>2.5</v>
      </c>
      <c r="L766">
        <f>INDEX(products!$A$1:$G$49,MATCH(orders!$D766,products!$A$1:$A$49,0),MATCH($L$1,products!$A$1:$G$1,0))</f>
        <v>29.784999999999997</v>
      </c>
      <c r="M766">
        <f t="shared" si="34"/>
        <v>178.70999999999998</v>
      </c>
      <c r="N766" t="str">
        <f t="shared" si="35"/>
        <v>Arabica</v>
      </c>
      <c r="O766" t="str">
        <f t="shared" si="36"/>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_xlfn.XLOOKUP(C767,customers!$A$2:$A$1001,customers!$B$2:$B$1001,0)</f>
        <v>Rafferty Pursglove</v>
      </c>
      <c r="G767" s="2" t="str">
        <f>_xlfn.XLOOKUP(C767,customers!$A$2:$A$1001,customers!$C$2:$C$1001,0)</f>
        <v>rpursglovel9@biblegateway.com</v>
      </c>
      <c r="H767" s="2" t="str">
        <f>_xlfn.XLOOKUP(orders!C767,customers!$A$2:$A$1001,customers!$G$2:$G$1001,0)</f>
        <v>United States</v>
      </c>
      <c r="I767" t="str">
        <f>INDEX(products!$A$1:$G$49,MATCH(orders!$D767,products!$A$1:$A$49,0),MATCH($I$1,products!$A$1:$G$1,0))</f>
        <v>Rob</v>
      </c>
      <c r="J767" t="str">
        <f>INDEX(products!$A$1:$G$49,MATCH(orders!$D767,products!$A$1:$A$49,0),MATCH($J$1,products!$A$1:$G$1,0))</f>
        <v>M</v>
      </c>
      <c r="K767" s="1">
        <f>INDEX(products!$A$1:$G$49,MATCH(orders!$D767,products!$A$1:$A$49,0),MATCH($K$1,products!$A$1:$G$1,0))</f>
        <v>1</v>
      </c>
      <c r="L767">
        <f>INDEX(products!$A$1:$G$49,MATCH(orders!$D767,products!$A$1:$A$49,0),MATCH($L$1,products!$A$1:$G$1,0))</f>
        <v>9.9499999999999993</v>
      </c>
      <c r="M767">
        <f t="shared" si="34"/>
        <v>59.699999999999996</v>
      </c>
      <c r="N767" t="str">
        <f t="shared" si="35"/>
        <v>Robusta</v>
      </c>
      <c r="O767" t="str">
        <f t="shared" si="36"/>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_xlfn.XLOOKUP(C768,customers!$A$2:$A$1001,customers!$B$2:$B$1001,0)</f>
        <v>Rafferty Pursglove</v>
      </c>
      <c r="G768" s="2" t="str">
        <f>_xlfn.XLOOKUP(C768,customers!$A$2:$A$1001,customers!$C$2:$C$1001,0)</f>
        <v>rpursglovel9@biblegateway.com</v>
      </c>
      <c r="H768" s="2" t="str">
        <f>_xlfn.XLOOKUP(orders!C768,customers!$A$2:$A$1001,customers!$G$2:$G$1001,0)</f>
        <v>United States</v>
      </c>
      <c r="I768" t="str">
        <f>INDEX(products!$A$1:$G$49,MATCH(orders!$D768,products!$A$1:$A$49,0),MATCH($I$1,products!$A$1:$G$1,0))</f>
        <v>Ara</v>
      </c>
      <c r="J768" t="str">
        <f>INDEX(products!$A$1:$G$49,MATCH(orders!$D768,products!$A$1:$A$49,0),MATCH($J$1,products!$A$1:$G$1,0))</f>
        <v>L</v>
      </c>
      <c r="K768" s="1">
        <f>INDEX(products!$A$1:$G$49,MATCH(orders!$D768,products!$A$1:$A$49,0),MATCH($K$1,products!$A$1:$G$1,0))</f>
        <v>0.5</v>
      </c>
      <c r="L768">
        <f>INDEX(products!$A$1:$G$49,MATCH(orders!$D768,products!$A$1:$A$49,0),MATCH($L$1,products!$A$1:$G$1,0))</f>
        <v>7.77</v>
      </c>
      <c r="M768">
        <f t="shared" si="34"/>
        <v>15.54</v>
      </c>
      <c r="N768" t="str">
        <f t="shared" si="35"/>
        <v>Arabica</v>
      </c>
      <c r="O768" t="str">
        <f t="shared" si="36"/>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_xlfn.XLOOKUP(C769,customers!$A$2:$A$1001,customers!$B$2:$B$1001,0)</f>
        <v>Foster Constance</v>
      </c>
      <c r="G769" s="2" t="str">
        <f>_xlfn.XLOOKUP(C769,customers!$A$2:$A$1001,customers!$C$2:$C$1001,0)</f>
        <v>fconstancekz@ifeng.com</v>
      </c>
      <c r="H769" s="2" t="str">
        <f>_xlfn.XLOOKUP(orders!C769,customers!$A$2:$A$1001,customers!$G$2:$G$1001,0)</f>
        <v>United States</v>
      </c>
      <c r="I769" t="str">
        <f>INDEX(products!$A$1:$G$49,MATCH(orders!$D769,products!$A$1:$A$49,0),MATCH($I$1,products!$A$1:$G$1,0))</f>
        <v>Ara</v>
      </c>
      <c r="J769" t="str">
        <f>INDEX(products!$A$1:$G$49,MATCH(orders!$D769,products!$A$1:$A$49,0),MATCH($J$1,products!$A$1:$G$1,0))</f>
        <v>L</v>
      </c>
      <c r="K769" s="1">
        <f>INDEX(products!$A$1:$G$49,MATCH(orders!$D769,products!$A$1:$A$49,0),MATCH($K$1,products!$A$1:$G$1,0))</f>
        <v>2.5</v>
      </c>
      <c r="L769">
        <f>INDEX(products!$A$1:$G$49,MATCH(orders!$D769,products!$A$1:$A$49,0),MATCH($L$1,products!$A$1:$G$1,0))</f>
        <v>29.784999999999997</v>
      </c>
      <c r="M769">
        <f t="shared" si="34"/>
        <v>89.35499999999999</v>
      </c>
      <c r="N769" t="str">
        <f t="shared" si="35"/>
        <v>Arabica</v>
      </c>
      <c r="O769" t="str">
        <f t="shared" si="36"/>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_xlfn.XLOOKUP(C770,customers!$A$2:$A$1001,customers!$B$2:$B$1001,0)</f>
        <v>Foster Constance</v>
      </c>
      <c r="G770" s="2" t="str">
        <f>_xlfn.XLOOKUP(C770,customers!$A$2:$A$1001,customers!$C$2:$C$1001,0)</f>
        <v>fconstancekz@ifeng.com</v>
      </c>
      <c r="H770" s="2" t="str">
        <f>_xlfn.XLOOKUP(orders!C770,customers!$A$2:$A$1001,customers!$G$2:$G$1001,0)</f>
        <v>United States</v>
      </c>
      <c r="I770" t="str">
        <f>INDEX(products!$A$1:$G$49,MATCH(orders!$D770,products!$A$1:$A$49,0),MATCH($I$1,products!$A$1:$G$1,0))</f>
        <v>Rob</v>
      </c>
      <c r="J770" t="str">
        <f>INDEX(products!$A$1:$G$49,MATCH(orders!$D770,products!$A$1:$A$49,0),MATCH($J$1,products!$A$1:$G$1,0))</f>
        <v>L</v>
      </c>
      <c r="K770" s="1">
        <f>INDEX(products!$A$1:$G$49,MATCH(orders!$D770,products!$A$1:$A$49,0),MATCH($K$1,products!$A$1:$G$1,0))</f>
        <v>1</v>
      </c>
      <c r="L770">
        <f>INDEX(products!$A$1:$G$49,MATCH(orders!$D770,products!$A$1:$A$49,0),MATCH($L$1,products!$A$1:$G$1,0))</f>
        <v>11.95</v>
      </c>
      <c r="M770">
        <f t="shared" si="34"/>
        <v>23.9</v>
      </c>
      <c r="N770" t="str">
        <f t="shared" si="35"/>
        <v>Robusta</v>
      </c>
      <c r="O770" t="str">
        <f t="shared" si="36"/>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_xlfn.XLOOKUP(C771,customers!$A$2:$A$1001,customers!$B$2:$B$1001,0)</f>
        <v>Dalia Eburah</v>
      </c>
      <c r="G771" s="2" t="str">
        <f>_xlfn.XLOOKUP(C771,customers!$A$2:$A$1001,customers!$C$2:$C$1001,0)</f>
        <v>deburahld@google.co.jp</v>
      </c>
      <c r="H771" s="2" t="str">
        <f>_xlfn.XLOOKUP(orders!C771,customers!$A$2:$A$1001,customers!$G$2:$G$1001,0)</f>
        <v>United Kingdom</v>
      </c>
      <c r="I771" t="str">
        <f>INDEX(products!$A$1:$G$49,MATCH(orders!$D771,products!$A$1:$A$49,0),MATCH($I$1,products!$A$1:$G$1,0))</f>
        <v>Rob</v>
      </c>
      <c r="J771" t="str">
        <f>INDEX(products!$A$1:$G$49,MATCH(orders!$D771,products!$A$1:$A$49,0),MATCH($J$1,products!$A$1:$G$1,0))</f>
        <v>M</v>
      </c>
      <c r="K771" s="1">
        <f>INDEX(products!$A$1:$G$49,MATCH(orders!$D771,products!$A$1:$A$49,0),MATCH($K$1,products!$A$1:$G$1,0))</f>
        <v>2.5</v>
      </c>
      <c r="L771">
        <f>INDEX(products!$A$1:$G$49,MATCH(orders!$D771,products!$A$1:$A$49,0),MATCH($L$1,products!$A$1:$G$1,0))</f>
        <v>22.884999999999998</v>
      </c>
      <c r="M771">
        <f t="shared" ref="M771:M834" si="37">L771*E771</f>
        <v>137.31</v>
      </c>
      <c r="N771" t="str">
        <f t="shared" ref="N771:N834" si="38">IF(I771="Rob","Robusta",IF(I771="Exc","Excelsa",IF(I771="Ara","Arabica",IF(I771="Lib","Liberica",""))))</f>
        <v>Robusta</v>
      </c>
      <c r="O771" t="str">
        <f t="shared" ref="O771:O834" si="39">IF(J771="M", "Medium", IF(J771="L","Light", IF(J771="D", "Dark","")))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_xlfn.XLOOKUP(C772,customers!$A$2:$A$1001,customers!$B$2:$B$1001,0)</f>
        <v>Martie Brimilcombe</v>
      </c>
      <c r="G772" s="2" t="str">
        <f>_xlfn.XLOOKUP(C772,customers!$A$2:$A$1001,customers!$C$2:$C$1001,0)</f>
        <v>mbrimilcombele@cnn.com</v>
      </c>
      <c r="H772" s="2" t="str">
        <f>_xlfn.XLOOKUP(orders!C772,customers!$A$2:$A$1001,customers!$G$2:$G$1001,0)</f>
        <v>United States</v>
      </c>
      <c r="I772" t="str">
        <f>INDEX(products!$A$1:$G$49,MATCH(orders!$D772,products!$A$1:$A$49,0),MATCH($I$1,products!$A$1:$G$1,0))</f>
        <v>Ara</v>
      </c>
      <c r="J772" t="str">
        <f>INDEX(products!$A$1:$G$49,MATCH(orders!$D772,products!$A$1:$A$49,0),MATCH($J$1,products!$A$1:$G$1,0))</f>
        <v>D</v>
      </c>
      <c r="K772" s="1">
        <f>INDEX(products!$A$1:$G$49,MATCH(orders!$D772,products!$A$1:$A$49,0),MATCH($K$1,products!$A$1:$G$1,0))</f>
        <v>1</v>
      </c>
      <c r="L772">
        <f>INDEX(products!$A$1:$G$49,MATCH(orders!$D772,products!$A$1:$A$49,0),MATCH($L$1,products!$A$1:$G$1,0))</f>
        <v>9.9499999999999993</v>
      </c>
      <c r="M772">
        <f t="shared" si="37"/>
        <v>9.9499999999999993</v>
      </c>
      <c r="N772" t="str">
        <f t="shared" si="38"/>
        <v>Arabica</v>
      </c>
      <c r="O772" t="str">
        <f t="shared" si="39"/>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_xlfn.XLOOKUP(C773,customers!$A$2:$A$1001,customers!$B$2:$B$1001,0)</f>
        <v>Suzanna Bollam</v>
      </c>
      <c r="G773" s="2" t="str">
        <f>_xlfn.XLOOKUP(C773,customers!$A$2:$A$1001,customers!$C$2:$C$1001,0)</f>
        <v>sbollamlf@list-manage.com</v>
      </c>
      <c r="H773" s="2" t="str">
        <f>_xlfn.XLOOKUP(orders!C773,customers!$A$2:$A$1001,customers!$G$2:$G$1001,0)</f>
        <v>United States</v>
      </c>
      <c r="I773" t="str">
        <f>INDEX(products!$A$1:$G$49,MATCH(orders!$D773,products!$A$1:$A$49,0),MATCH($I$1,products!$A$1:$G$1,0))</f>
        <v>Rob</v>
      </c>
      <c r="J773" t="str">
        <f>INDEX(products!$A$1:$G$49,MATCH(orders!$D773,products!$A$1:$A$49,0),MATCH($J$1,products!$A$1:$G$1,0))</f>
        <v>L</v>
      </c>
      <c r="K773" s="1">
        <f>INDEX(products!$A$1:$G$49,MATCH(orders!$D773,products!$A$1:$A$49,0),MATCH($K$1,products!$A$1:$G$1,0))</f>
        <v>0.5</v>
      </c>
      <c r="L773">
        <f>INDEX(products!$A$1:$G$49,MATCH(orders!$D773,products!$A$1:$A$49,0),MATCH($L$1,products!$A$1:$G$1,0))</f>
        <v>7.169999999999999</v>
      </c>
      <c r="M773">
        <f t="shared" si="37"/>
        <v>21.509999999999998</v>
      </c>
      <c r="N773" t="str">
        <f t="shared" si="38"/>
        <v>Robusta</v>
      </c>
      <c r="O773" t="str">
        <f t="shared" si="39"/>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_xlfn.XLOOKUP(C774,customers!$A$2:$A$1001,customers!$B$2:$B$1001,0)</f>
        <v>Mellisa Mebes</v>
      </c>
      <c r="G774" s="2">
        <f>_xlfn.XLOOKUP(C774,customers!$A$2:$A$1001,customers!$C$2:$C$1001,0)</f>
        <v>0</v>
      </c>
      <c r="H774" s="2" t="str">
        <f>_xlfn.XLOOKUP(orders!C774,customers!$A$2:$A$1001,customers!$G$2:$G$1001,0)</f>
        <v>United States</v>
      </c>
      <c r="I774" t="str">
        <f>INDEX(products!$A$1:$G$49,MATCH(orders!$D774,products!$A$1:$A$49,0),MATCH($I$1,products!$A$1:$G$1,0))</f>
        <v>Exc</v>
      </c>
      <c r="J774" t="str">
        <f>INDEX(products!$A$1:$G$49,MATCH(orders!$D774,products!$A$1:$A$49,0),MATCH($J$1,products!$A$1:$G$1,0))</f>
        <v>M</v>
      </c>
      <c r="K774" s="1">
        <f>INDEX(products!$A$1:$G$49,MATCH(orders!$D774,products!$A$1:$A$49,0),MATCH($K$1,products!$A$1:$G$1,0))</f>
        <v>1</v>
      </c>
      <c r="L774">
        <f>INDEX(products!$A$1:$G$49,MATCH(orders!$D774,products!$A$1:$A$49,0),MATCH($L$1,products!$A$1:$G$1,0))</f>
        <v>13.75</v>
      </c>
      <c r="M774">
        <f t="shared" si="37"/>
        <v>82.5</v>
      </c>
      <c r="N774" t="str">
        <f t="shared" si="38"/>
        <v>Excelsa</v>
      </c>
      <c r="O774" t="str">
        <f t="shared" si="39"/>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_xlfn.XLOOKUP(C775,customers!$A$2:$A$1001,customers!$B$2:$B$1001,0)</f>
        <v>Alva Filipczak</v>
      </c>
      <c r="G775" s="2" t="str">
        <f>_xlfn.XLOOKUP(C775,customers!$A$2:$A$1001,customers!$C$2:$C$1001,0)</f>
        <v>afilipczaklh@ning.com</v>
      </c>
      <c r="H775" s="2" t="str">
        <f>_xlfn.XLOOKUP(orders!C775,customers!$A$2:$A$1001,customers!$G$2:$G$1001,0)</f>
        <v>Ireland</v>
      </c>
      <c r="I775" t="str">
        <f>INDEX(products!$A$1:$G$49,MATCH(orders!$D775,products!$A$1:$A$49,0),MATCH($I$1,products!$A$1:$G$1,0))</f>
        <v>Lib</v>
      </c>
      <c r="J775" t="str">
        <f>INDEX(products!$A$1:$G$49,MATCH(orders!$D775,products!$A$1:$A$49,0),MATCH($J$1,products!$A$1:$G$1,0))</f>
        <v>M</v>
      </c>
      <c r="K775" s="1">
        <f>INDEX(products!$A$1:$G$49,MATCH(orders!$D775,products!$A$1:$A$49,0),MATCH($K$1,products!$A$1:$G$1,0))</f>
        <v>0.2</v>
      </c>
      <c r="L775">
        <f>INDEX(products!$A$1:$G$49,MATCH(orders!$D775,products!$A$1:$A$49,0),MATCH($L$1,products!$A$1:$G$1,0))</f>
        <v>4.3650000000000002</v>
      </c>
      <c r="M775">
        <f t="shared" si="37"/>
        <v>8.73</v>
      </c>
      <c r="N775" t="str">
        <f t="shared" si="38"/>
        <v>Liberica</v>
      </c>
      <c r="O775" t="str">
        <f t="shared" si="39"/>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_xlfn.XLOOKUP(C776,customers!$A$2:$A$1001,customers!$B$2:$B$1001,0)</f>
        <v>Dorette Hinemoor</v>
      </c>
      <c r="G776" s="2">
        <f>_xlfn.XLOOKUP(C776,customers!$A$2:$A$1001,customers!$C$2:$C$1001,0)</f>
        <v>0</v>
      </c>
      <c r="H776" s="2" t="str">
        <f>_xlfn.XLOOKUP(orders!C776,customers!$A$2:$A$1001,customers!$G$2:$G$1001,0)</f>
        <v>United States</v>
      </c>
      <c r="I776" t="str">
        <f>INDEX(products!$A$1:$G$49,MATCH(orders!$D776,products!$A$1:$A$49,0),MATCH($I$1,products!$A$1:$G$1,0))</f>
        <v>Rob</v>
      </c>
      <c r="J776" t="str">
        <f>INDEX(products!$A$1:$G$49,MATCH(orders!$D776,products!$A$1:$A$49,0),MATCH($J$1,products!$A$1:$G$1,0))</f>
        <v>M</v>
      </c>
      <c r="K776" s="1">
        <f>INDEX(products!$A$1:$G$49,MATCH(orders!$D776,products!$A$1:$A$49,0),MATCH($K$1,products!$A$1:$G$1,0))</f>
        <v>1</v>
      </c>
      <c r="L776">
        <f>INDEX(products!$A$1:$G$49,MATCH(orders!$D776,products!$A$1:$A$49,0),MATCH($L$1,products!$A$1:$G$1,0))</f>
        <v>9.9499999999999993</v>
      </c>
      <c r="M776">
        <f t="shared" si="37"/>
        <v>19.899999999999999</v>
      </c>
      <c r="N776" t="str">
        <f t="shared" si="38"/>
        <v>Robusta</v>
      </c>
      <c r="O776" t="str">
        <f t="shared" si="39"/>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_xlfn.XLOOKUP(C777,customers!$A$2:$A$1001,customers!$B$2:$B$1001,0)</f>
        <v>Rhetta Elnaugh</v>
      </c>
      <c r="G777" s="2" t="str">
        <f>_xlfn.XLOOKUP(C777,customers!$A$2:$A$1001,customers!$C$2:$C$1001,0)</f>
        <v>relnaughlj@comsenz.com</v>
      </c>
      <c r="H777" s="2" t="str">
        <f>_xlfn.XLOOKUP(orders!C777,customers!$A$2:$A$1001,customers!$G$2:$G$1001,0)</f>
        <v>United States</v>
      </c>
      <c r="I777" t="str">
        <f>INDEX(products!$A$1:$G$49,MATCH(orders!$D777,products!$A$1:$A$49,0),MATCH($I$1,products!$A$1:$G$1,0))</f>
        <v>Exc</v>
      </c>
      <c r="J777" t="str">
        <f>INDEX(products!$A$1:$G$49,MATCH(orders!$D777,products!$A$1:$A$49,0),MATCH($J$1,products!$A$1:$G$1,0))</f>
        <v>L</v>
      </c>
      <c r="K777" s="1">
        <f>INDEX(products!$A$1:$G$49,MATCH(orders!$D777,products!$A$1:$A$49,0),MATCH($K$1,products!$A$1:$G$1,0))</f>
        <v>0.5</v>
      </c>
      <c r="L777">
        <f>INDEX(products!$A$1:$G$49,MATCH(orders!$D777,products!$A$1:$A$49,0),MATCH($L$1,products!$A$1:$G$1,0))</f>
        <v>8.91</v>
      </c>
      <c r="M777">
        <f t="shared" si="37"/>
        <v>17.82</v>
      </c>
      <c r="N777" t="str">
        <f t="shared" si="38"/>
        <v>Excelsa</v>
      </c>
      <c r="O777" t="str">
        <f t="shared" si="39"/>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_xlfn.XLOOKUP(C778,customers!$A$2:$A$1001,customers!$B$2:$B$1001,0)</f>
        <v>Jule Deehan</v>
      </c>
      <c r="G778" s="2" t="str">
        <f>_xlfn.XLOOKUP(C778,customers!$A$2:$A$1001,customers!$C$2:$C$1001,0)</f>
        <v>jdeehanlk@about.me</v>
      </c>
      <c r="H778" s="2" t="str">
        <f>_xlfn.XLOOKUP(orders!C778,customers!$A$2:$A$1001,customers!$G$2:$G$1001,0)</f>
        <v>United States</v>
      </c>
      <c r="I778" t="str">
        <f>INDEX(products!$A$1:$G$49,MATCH(orders!$D778,products!$A$1:$A$49,0),MATCH($I$1,products!$A$1:$G$1,0))</f>
        <v>Ara</v>
      </c>
      <c r="J778" t="str">
        <f>INDEX(products!$A$1:$G$49,MATCH(orders!$D778,products!$A$1:$A$49,0),MATCH($J$1,products!$A$1:$G$1,0))</f>
        <v>M</v>
      </c>
      <c r="K778" s="1">
        <f>INDEX(products!$A$1:$G$49,MATCH(orders!$D778,products!$A$1:$A$49,0),MATCH($K$1,products!$A$1:$G$1,0))</f>
        <v>0.5</v>
      </c>
      <c r="L778">
        <f>INDEX(products!$A$1:$G$49,MATCH(orders!$D778,products!$A$1:$A$49,0),MATCH($L$1,products!$A$1:$G$1,0))</f>
        <v>6.75</v>
      </c>
      <c r="M778">
        <f t="shared" si="37"/>
        <v>20.25</v>
      </c>
      <c r="N778" t="str">
        <f t="shared" si="38"/>
        <v>Arabica</v>
      </c>
      <c r="O778" t="str">
        <f t="shared" si="39"/>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_xlfn.XLOOKUP(C779,customers!$A$2:$A$1001,customers!$B$2:$B$1001,0)</f>
        <v>Janella Eden</v>
      </c>
      <c r="G779" s="2" t="str">
        <f>_xlfn.XLOOKUP(C779,customers!$A$2:$A$1001,customers!$C$2:$C$1001,0)</f>
        <v>jedenll@e-recht24.de</v>
      </c>
      <c r="H779" s="2" t="str">
        <f>_xlfn.XLOOKUP(orders!C779,customers!$A$2:$A$1001,customers!$G$2:$G$1001,0)</f>
        <v>United States</v>
      </c>
      <c r="I779" t="str">
        <f>INDEX(products!$A$1:$G$49,MATCH(orders!$D779,products!$A$1:$A$49,0),MATCH($I$1,products!$A$1:$G$1,0))</f>
        <v>Ara</v>
      </c>
      <c r="J779" t="str">
        <f>INDEX(products!$A$1:$G$49,MATCH(orders!$D779,products!$A$1:$A$49,0),MATCH($J$1,products!$A$1:$G$1,0))</f>
        <v>L</v>
      </c>
      <c r="K779" s="1">
        <f>INDEX(products!$A$1:$G$49,MATCH(orders!$D779,products!$A$1:$A$49,0),MATCH($K$1,products!$A$1:$G$1,0))</f>
        <v>2.5</v>
      </c>
      <c r="L779">
        <f>INDEX(products!$A$1:$G$49,MATCH(orders!$D779,products!$A$1:$A$49,0),MATCH($L$1,products!$A$1:$G$1,0))</f>
        <v>29.784999999999997</v>
      </c>
      <c r="M779">
        <f t="shared" si="37"/>
        <v>59.569999999999993</v>
      </c>
      <c r="N779" t="str">
        <f t="shared" si="38"/>
        <v>Arabica</v>
      </c>
      <c r="O779" t="str">
        <f t="shared" si="39"/>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_xlfn.XLOOKUP(C780,customers!$A$2:$A$1001,customers!$B$2:$B$1001,0)</f>
        <v>Cam Jewster</v>
      </c>
      <c r="G780" s="2" t="str">
        <f>_xlfn.XLOOKUP(C780,customers!$A$2:$A$1001,customers!$C$2:$C$1001,0)</f>
        <v>cjewsterlu@moonfruit.com</v>
      </c>
      <c r="H780" s="2" t="str">
        <f>_xlfn.XLOOKUP(orders!C780,customers!$A$2:$A$1001,customers!$G$2:$G$1001,0)</f>
        <v>United States</v>
      </c>
      <c r="I780" t="str">
        <f>INDEX(products!$A$1:$G$49,MATCH(orders!$D780,products!$A$1:$A$49,0),MATCH($I$1,products!$A$1:$G$1,0))</f>
        <v>Lib</v>
      </c>
      <c r="J780" t="str">
        <f>INDEX(products!$A$1:$G$49,MATCH(orders!$D780,products!$A$1:$A$49,0),MATCH($J$1,products!$A$1:$G$1,0))</f>
        <v>L</v>
      </c>
      <c r="K780" s="1">
        <f>INDEX(products!$A$1:$G$49,MATCH(orders!$D780,products!$A$1:$A$49,0),MATCH($K$1,products!$A$1:$G$1,0))</f>
        <v>0.5</v>
      </c>
      <c r="L780">
        <f>INDEX(products!$A$1:$G$49,MATCH(orders!$D780,products!$A$1:$A$49,0),MATCH($L$1,products!$A$1:$G$1,0))</f>
        <v>9.51</v>
      </c>
      <c r="M780">
        <f t="shared" si="37"/>
        <v>19.02</v>
      </c>
      <c r="N780" t="str">
        <f t="shared" si="38"/>
        <v>Liberica</v>
      </c>
      <c r="O780" t="str">
        <f t="shared" si="39"/>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_xlfn.XLOOKUP(C781,customers!$A$2:$A$1001,customers!$B$2:$B$1001,0)</f>
        <v>Ugo Southerden</v>
      </c>
      <c r="G781" s="2" t="str">
        <f>_xlfn.XLOOKUP(C781,customers!$A$2:$A$1001,customers!$C$2:$C$1001,0)</f>
        <v>usoutherdenln@hao123.com</v>
      </c>
      <c r="H781" s="2" t="str">
        <f>_xlfn.XLOOKUP(orders!C781,customers!$A$2:$A$1001,customers!$G$2:$G$1001,0)</f>
        <v>United States</v>
      </c>
      <c r="I781" t="str">
        <f>INDEX(products!$A$1:$G$49,MATCH(orders!$D781,products!$A$1:$A$49,0),MATCH($I$1,products!$A$1:$G$1,0))</f>
        <v>Lib</v>
      </c>
      <c r="J781" t="str">
        <f>INDEX(products!$A$1:$G$49,MATCH(orders!$D781,products!$A$1:$A$49,0),MATCH($J$1,products!$A$1:$G$1,0))</f>
        <v>D</v>
      </c>
      <c r="K781" s="1">
        <f>INDEX(products!$A$1:$G$49,MATCH(orders!$D781,products!$A$1:$A$49,0),MATCH($K$1,products!$A$1:$G$1,0))</f>
        <v>1</v>
      </c>
      <c r="L781">
        <f>INDEX(products!$A$1:$G$49,MATCH(orders!$D781,products!$A$1:$A$49,0),MATCH($L$1,products!$A$1:$G$1,0))</f>
        <v>12.95</v>
      </c>
      <c r="M781">
        <f t="shared" si="37"/>
        <v>77.699999999999989</v>
      </c>
      <c r="N781" t="str">
        <f t="shared" si="38"/>
        <v>Liberica</v>
      </c>
      <c r="O781" t="str">
        <f t="shared" si="39"/>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_xlfn.XLOOKUP(C782,customers!$A$2:$A$1001,customers!$B$2:$B$1001,0)</f>
        <v>Verne Dunkerley</v>
      </c>
      <c r="G782" s="2">
        <f>_xlfn.XLOOKUP(C782,customers!$A$2:$A$1001,customers!$C$2:$C$1001,0)</f>
        <v>0</v>
      </c>
      <c r="H782" s="2" t="str">
        <f>_xlfn.XLOOKUP(orders!C782,customers!$A$2:$A$1001,customers!$G$2:$G$1001,0)</f>
        <v>United States</v>
      </c>
      <c r="I782" t="str">
        <f>INDEX(products!$A$1:$G$49,MATCH(orders!$D782,products!$A$1:$A$49,0),MATCH($I$1,products!$A$1:$G$1,0))</f>
        <v>Exc</v>
      </c>
      <c r="J782" t="str">
        <f>INDEX(products!$A$1:$G$49,MATCH(orders!$D782,products!$A$1:$A$49,0),MATCH($J$1,products!$A$1:$G$1,0))</f>
        <v>M</v>
      </c>
      <c r="K782" s="1">
        <f>INDEX(products!$A$1:$G$49,MATCH(orders!$D782,products!$A$1:$A$49,0),MATCH($K$1,products!$A$1:$G$1,0))</f>
        <v>1</v>
      </c>
      <c r="L782">
        <f>INDEX(products!$A$1:$G$49,MATCH(orders!$D782,products!$A$1:$A$49,0),MATCH($L$1,products!$A$1:$G$1,0))</f>
        <v>13.75</v>
      </c>
      <c r="M782">
        <f t="shared" si="37"/>
        <v>41.25</v>
      </c>
      <c r="N782" t="str">
        <f t="shared" si="38"/>
        <v>Excelsa</v>
      </c>
      <c r="O782" t="str">
        <f t="shared" si="39"/>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_xlfn.XLOOKUP(C783,customers!$A$2:$A$1001,customers!$B$2:$B$1001,0)</f>
        <v>Lacee Burtenshaw</v>
      </c>
      <c r="G783" s="2" t="str">
        <f>_xlfn.XLOOKUP(C783,customers!$A$2:$A$1001,customers!$C$2:$C$1001,0)</f>
        <v>lburtenshawlp@shinystat.com</v>
      </c>
      <c r="H783" s="2" t="str">
        <f>_xlfn.XLOOKUP(orders!C783,customers!$A$2:$A$1001,customers!$G$2:$G$1001,0)</f>
        <v>United States</v>
      </c>
      <c r="I783" t="str">
        <f>INDEX(products!$A$1:$G$49,MATCH(orders!$D783,products!$A$1:$A$49,0),MATCH($I$1,products!$A$1:$G$1,0))</f>
        <v>Lib</v>
      </c>
      <c r="J783" t="str">
        <f>INDEX(products!$A$1:$G$49,MATCH(orders!$D783,products!$A$1:$A$49,0),MATCH($J$1,products!$A$1:$G$1,0))</f>
        <v>L</v>
      </c>
      <c r="K783" s="1">
        <f>INDEX(products!$A$1:$G$49,MATCH(orders!$D783,products!$A$1:$A$49,0),MATCH($K$1,products!$A$1:$G$1,0))</f>
        <v>2.5</v>
      </c>
      <c r="L783">
        <f>INDEX(products!$A$1:$G$49,MATCH(orders!$D783,products!$A$1:$A$49,0),MATCH($L$1,products!$A$1:$G$1,0))</f>
        <v>36.454999999999998</v>
      </c>
      <c r="M783">
        <f t="shared" si="37"/>
        <v>145.82</v>
      </c>
      <c r="N783" t="str">
        <f t="shared" si="38"/>
        <v>Liberica</v>
      </c>
      <c r="O783" t="str">
        <f t="shared" si="39"/>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_xlfn.XLOOKUP(C784,customers!$A$2:$A$1001,customers!$B$2:$B$1001,0)</f>
        <v>Adorne Gregoratti</v>
      </c>
      <c r="G784" s="2" t="str">
        <f>_xlfn.XLOOKUP(C784,customers!$A$2:$A$1001,customers!$C$2:$C$1001,0)</f>
        <v>agregorattilq@vistaprint.com</v>
      </c>
      <c r="H784" s="2" t="str">
        <f>_xlfn.XLOOKUP(orders!C784,customers!$A$2:$A$1001,customers!$G$2:$G$1001,0)</f>
        <v>Ireland</v>
      </c>
      <c r="I784" t="str">
        <f>INDEX(products!$A$1:$G$49,MATCH(orders!$D784,products!$A$1:$A$49,0),MATCH($I$1,products!$A$1:$G$1,0))</f>
        <v>Exc</v>
      </c>
      <c r="J784" t="str">
        <f>INDEX(products!$A$1:$G$49,MATCH(orders!$D784,products!$A$1:$A$49,0),MATCH($J$1,products!$A$1:$G$1,0))</f>
        <v>L</v>
      </c>
      <c r="K784" s="1">
        <f>INDEX(products!$A$1:$G$49,MATCH(orders!$D784,products!$A$1:$A$49,0),MATCH($K$1,products!$A$1:$G$1,0))</f>
        <v>0.2</v>
      </c>
      <c r="L784">
        <f>INDEX(products!$A$1:$G$49,MATCH(orders!$D784,products!$A$1:$A$49,0),MATCH($L$1,products!$A$1:$G$1,0))</f>
        <v>4.4550000000000001</v>
      </c>
      <c r="M784">
        <f t="shared" si="37"/>
        <v>26.73</v>
      </c>
      <c r="N784" t="str">
        <f t="shared" si="38"/>
        <v>Excelsa</v>
      </c>
      <c r="O784" t="str">
        <f t="shared" si="39"/>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_xlfn.XLOOKUP(C785,customers!$A$2:$A$1001,customers!$B$2:$B$1001,0)</f>
        <v>Chris Croster</v>
      </c>
      <c r="G785" s="2" t="str">
        <f>_xlfn.XLOOKUP(C785,customers!$A$2:$A$1001,customers!$C$2:$C$1001,0)</f>
        <v>ccrosterlr@gov.uk</v>
      </c>
      <c r="H785" s="2" t="str">
        <f>_xlfn.XLOOKUP(orders!C785,customers!$A$2:$A$1001,customers!$G$2:$G$1001,0)</f>
        <v>United States</v>
      </c>
      <c r="I785" t="str">
        <f>INDEX(products!$A$1:$G$49,MATCH(orders!$D785,products!$A$1:$A$49,0),MATCH($I$1,products!$A$1:$G$1,0))</f>
        <v>Lib</v>
      </c>
      <c r="J785" t="str">
        <f>INDEX(products!$A$1:$G$49,MATCH(orders!$D785,products!$A$1:$A$49,0),MATCH($J$1,products!$A$1:$G$1,0))</f>
        <v>M</v>
      </c>
      <c r="K785" s="1">
        <f>INDEX(products!$A$1:$G$49,MATCH(orders!$D785,products!$A$1:$A$49,0),MATCH($K$1,products!$A$1:$G$1,0))</f>
        <v>0.5</v>
      </c>
      <c r="L785">
        <f>INDEX(products!$A$1:$G$49,MATCH(orders!$D785,products!$A$1:$A$49,0),MATCH($L$1,products!$A$1:$G$1,0))</f>
        <v>8.73</v>
      </c>
      <c r="M785">
        <f t="shared" si="37"/>
        <v>43.650000000000006</v>
      </c>
      <c r="N785" t="str">
        <f t="shared" si="38"/>
        <v>Liberica</v>
      </c>
      <c r="O785" t="str">
        <f t="shared" si="39"/>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_xlfn.XLOOKUP(C786,customers!$A$2:$A$1001,customers!$B$2:$B$1001,0)</f>
        <v>Graeme Whitehead</v>
      </c>
      <c r="G786" s="2" t="str">
        <f>_xlfn.XLOOKUP(C786,customers!$A$2:$A$1001,customers!$C$2:$C$1001,0)</f>
        <v>gwhiteheadls@hp.com</v>
      </c>
      <c r="H786" s="2" t="str">
        <f>_xlfn.XLOOKUP(orders!C786,customers!$A$2:$A$1001,customers!$G$2:$G$1001,0)</f>
        <v>United States</v>
      </c>
      <c r="I786" t="str">
        <f>INDEX(products!$A$1:$G$49,MATCH(orders!$D786,products!$A$1:$A$49,0),MATCH($I$1,products!$A$1:$G$1,0))</f>
        <v>Lib</v>
      </c>
      <c r="J786" t="str">
        <f>INDEX(products!$A$1:$G$49,MATCH(orders!$D786,products!$A$1:$A$49,0),MATCH($J$1,products!$A$1:$G$1,0))</f>
        <v>L</v>
      </c>
      <c r="K786" s="1">
        <f>INDEX(products!$A$1:$G$49,MATCH(orders!$D786,products!$A$1:$A$49,0),MATCH($K$1,products!$A$1:$G$1,0))</f>
        <v>1</v>
      </c>
      <c r="L786">
        <f>INDEX(products!$A$1:$G$49,MATCH(orders!$D786,products!$A$1:$A$49,0),MATCH($L$1,products!$A$1:$G$1,0))</f>
        <v>15.85</v>
      </c>
      <c r="M786">
        <f t="shared" si="37"/>
        <v>31.7</v>
      </c>
      <c r="N786" t="str">
        <f t="shared" si="38"/>
        <v>Liberica</v>
      </c>
      <c r="O786" t="str">
        <f t="shared" si="39"/>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_xlfn.XLOOKUP(C787,customers!$A$2:$A$1001,customers!$B$2:$B$1001,0)</f>
        <v>Haslett Jodrelle</v>
      </c>
      <c r="G787" s="2" t="str">
        <f>_xlfn.XLOOKUP(C787,customers!$A$2:$A$1001,customers!$C$2:$C$1001,0)</f>
        <v>hjodrellelt@samsung.com</v>
      </c>
      <c r="H787" s="2" t="str">
        <f>_xlfn.XLOOKUP(orders!C787,customers!$A$2:$A$1001,customers!$G$2:$G$1001,0)</f>
        <v>United States</v>
      </c>
      <c r="I787" t="str">
        <f>INDEX(products!$A$1:$G$49,MATCH(orders!$D787,products!$A$1:$A$49,0),MATCH($I$1,products!$A$1:$G$1,0))</f>
        <v>Ara</v>
      </c>
      <c r="J787" t="str">
        <f>INDEX(products!$A$1:$G$49,MATCH(orders!$D787,products!$A$1:$A$49,0),MATCH($J$1,products!$A$1:$G$1,0))</f>
        <v>D</v>
      </c>
      <c r="K787" s="1">
        <f>INDEX(products!$A$1:$G$49,MATCH(orders!$D787,products!$A$1:$A$49,0),MATCH($K$1,products!$A$1:$G$1,0))</f>
        <v>2.5</v>
      </c>
      <c r="L787">
        <f>INDEX(products!$A$1:$G$49,MATCH(orders!$D787,products!$A$1:$A$49,0),MATCH($L$1,products!$A$1:$G$1,0))</f>
        <v>22.884999999999998</v>
      </c>
      <c r="M787">
        <f t="shared" si="37"/>
        <v>22.884999999999998</v>
      </c>
      <c r="N787" t="str">
        <f t="shared" si="38"/>
        <v>Arabica</v>
      </c>
      <c r="O787" t="str">
        <f t="shared" si="39"/>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_xlfn.XLOOKUP(C788,customers!$A$2:$A$1001,customers!$B$2:$B$1001,0)</f>
        <v>Cam Jewster</v>
      </c>
      <c r="G788" s="2" t="str">
        <f>_xlfn.XLOOKUP(C788,customers!$A$2:$A$1001,customers!$C$2:$C$1001,0)</f>
        <v>cjewsterlu@moonfruit.com</v>
      </c>
      <c r="H788" s="2" t="str">
        <f>_xlfn.XLOOKUP(orders!C788,customers!$A$2:$A$1001,customers!$G$2:$G$1001,0)</f>
        <v>United States</v>
      </c>
      <c r="I788" t="str">
        <f>INDEX(products!$A$1:$G$49,MATCH(orders!$D788,products!$A$1:$A$49,0),MATCH($I$1,products!$A$1:$G$1,0))</f>
        <v>Exc</v>
      </c>
      <c r="J788" t="str">
        <f>INDEX(products!$A$1:$G$49,MATCH(orders!$D788,products!$A$1:$A$49,0),MATCH($J$1,products!$A$1:$G$1,0))</f>
        <v>D</v>
      </c>
      <c r="K788" s="1">
        <f>INDEX(products!$A$1:$G$49,MATCH(orders!$D788,products!$A$1:$A$49,0),MATCH($K$1,products!$A$1:$G$1,0))</f>
        <v>2.5</v>
      </c>
      <c r="L788">
        <f>INDEX(products!$A$1:$G$49,MATCH(orders!$D788,products!$A$1:$A$49,0),MATCH($L$1,products!$A$1:$G$1,0))</f>
        <v>27.945</v>
      </c>
      <c r="M788">
        <f t="shared" si="37"/>
        <v>27.945</v>
      </c>
      <c r="N788" t="str">
        <f t="shared" si="38"/>
        <v>Excelsa</v>
      </c>
      <c r="O788" t="str">
        <f t="shared" si="39"/>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_xlfn.XLOOKUP(C789,customers!$A$2:$A$1001,customers!$B$2:$B$1001,0)</f>
        <v>Beryl Osborn</v>
      </c>
      <c r="G789" s="2">
        <f>_xlfn.XLOOKUP(C789,customers!$A$2:$A$1001,customers!$C$2:$C$1001,0)</f>
        <v>0</v>
      </c>
      <c r="H789" s="2" t="str">
        <f>_xlfn.XLOOKUP(orders!C789,customers!$A$2:$A$1001,customers!$G$2:$G$1001,0)</f>
        <v>United States</v>
      </c>
      <c r="I789" t="str">
        <f>INDEX(products!$A$1:$G$49,MATCH(orders!$D789,products!$A$1:$A$49,0),MATCH($I$1,products!$A$1:$G$1,0))</f>
        <v>Exc</v>
      </c>
      <c r="J789" t="str">
        <f>INDEX(products!$A$1:$G$49,MATCH(orders!$D789,products!$A$1:$A$49,0),MATCH($J$1,products!$A$1:$G$1,0))</f>
        <v>M</v>
      </c>
      <c r="K789" s="1">
        <f>INDEX(products!$A$1:$G$49,MATCH(orders!$D789,products!$A$1:$A$49,0),MATCH($K$1,products!$A$1:$G$1,0))</f>
        <v>1</v>
      </c>
      <c r="L789">
        <f>INDEX(products!$A$1:$G$49,MATCH(orders!$D789,products!$A$1:$A$49,0),MATCH($L$1,products!$A$1:$G$1,0))</f>
        <v>13.75</v>
      </c>
      <c r="M789">
        <f t="shared" si="37"/>
        <v>82.5</v>
      </c>
      <c r="N789" t="str">
        <f t="shared" si="38"/>
        <v>Excelsa</v>
      </c>
      <c r="O789" t="str">
        <f t="shared" si="39"/>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_xlfn.XLOOKUP(C790,customers!$A$2:$A$1001,customers!$B$2:$B$1001,0)</f>
        <v>Kaela Nottram</v>
      </c>
      <c r="G790" s="2" t="str">
        <f>_xlfn.XLOOKUP(C790,customers!$A$2:$A$1001,customers!$C$2:$C$1001,0)</f>
        <v>knottramlw@odnoklassniki.ru</v>
      </c>
      <c r="H790" s="2" t="str">
        <f>_xlfn.XLOOKUP(orders!C790,customers!$A$2:$A$1001,customers!$G$2:$G$1001,0)</f>
        <v>Ireland</v>
      </c>
      <c r="I790" t="str">
        <f>INDEX(products!$A$1:$G$49,MATCH(orders!$D790,products!$A$1:$A$49,0),MATCH($I$1,products!$A$1:$G$1,0))</f>
        <v>Rob</v>
      </c>
      <c r="J790" t="str">
        <f>INDEX(products!$A$1:$G$49,MATCH(orders!$D790,products!$A$1:$A$49,0),MATCH($J$1,products!$A$1:$G$1,0))</f>
        <v>M</v>
      </c>
      <c r="K790" s="1">
        <f>INDEX(products!$A$1:$G$49,MATCH(orders!$D790,products!$A$1:$A$49,0),MATCH($K$1,products!$A$1:$G$1,0))</f>
        <v>2.5</v>
      </c>
      <c r="L790">
        <f>INDEX(products!$A$1:$G$49,MATCH(orders!$D790,products!$A$1:$A$49,0),MATCH($L$1,products!$A$1:$G$1,0))</f>
        <v>22.884999999999998</v>
      </c>
      <c r="M790">
        <f t="shared" si="37"/>
        <v>45.769999999999996</v>
      </c>
      <c r="N790" t="str">
        <f t="shared" si="38"/>
        <v>Robusta</v>
      </c>
      <c r="O790" t="str">
        <f t="shared" si="39"/>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_xlfn.XLOOKUP(C791,customers!$A$2:$A$1001,customers!$B$2:$B$1001,0)</f>
        <v>Nobe Buney</v>
      </c>
      <c r="G791" s="2" t="str">
        <f>_xlfn.XLOOKUP(C791,customers!$A$2:$A$1001,customers!$C$2:$C$1001,0)</f>
        <v>nbuneylx@jugem.jp</v>
      </c>
      <c r="H791" s="2" t="str">
        <f>_xlfn.XLOOKUP(orders!C791,customers!$A$2:$A$1001,customers!$G$2:$G$1001,0)</f>
        <v>United States</v>
      </c>
      <c r="I791" t="str">
        <f>INDEX(products!$A$1:$G$49,MATCH(orders!$D791,products!$A$1:$A$49,0),MATCH($I$1,products!$A$1:$G$1,0))</f>
        <v>Ara</v>
      </c>
      <c r="J791" t="str">
        <f>INDEX(products!$A$1:$G$49,MATCH(orders!$D791,products!$A$1:$A$49,0),MATCH($J$1,products!$A$1:$G$1,0))</f>
        <v>L</v>
      </c>
      <c r="K791" s="1">
        <f>INDEX(products!$A$1:$G$49,MATCH(orders!$D791,products!$A$1:$A$49,0),MATCH($K$1,products!$A$1:$G$1,0))</f>
        <v>1</v>
      </c>
      <c r="L791">
        <f>INDEX(products!$A$1:$G$49,MATCH(orders!$D791,products!$A$1:$A$49,0),MATCH($L$1,products!$A$1:$G$1,0))</f>
        <v>12.95</v>
      </c>
      <c r="M791">
        <f t="shared" si="37"/>
        <v>77.699999999999989</v>
      </c>
      <c r="N791" t="str">
        <f t="shared" si="38"/>
        <v>Arabica</v>
      </c>
      <c r="O791" t="str">
        <f t="shared" si="39"/>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_xlfn.XLOOKUP(C792,customers!$A$2:$A$1001,customers!$B$2:$B$1001,0)</f>
        <v>Silvan McShea</v>
      </c>
      <c r="G792" s="2" t="str">
        <f>_xlfn.XLOOKUP(C792,customers!$A$2:$A$1001,customers!$C$2:$C$1001,0)</f>
        <v>smcshealy@photobucket.com</v>
      </c>
      <c r="H792" s="2" t="str">
        <f>_xlfn.XLOOKUP(orders!C792,customers!$A$2:$A$1001,customers!$G$2:$G$1001,0)</f>
        <v>United States</v>
      </c>
      <c r="I792" t="str">
        <f>INDEX(products!$A$1:$G$49,MATCH(orders!$D792,products!$A$1:$A$49,0),MATCH($I$1,products!$A$1:$G$1,0))</f>
        <v>Ara</v>
      </c>
      <c r="J792" t="str">
        <f>INDEX(products!$A$1:$G$49,MATCH(orders!$D792,products!$A$1:$A$49,0),MATCH($J$1,products!$A$1:$G$1,0))</f>
        <v>L</v>
      </c>
      <c r="K792" s="1">
        <f>INDEX(products!$A$1:$G$49,MATCH(orders!$D792,products!$A$1:$A$49,0),MATCH($K$1,products!$A$1:$G$1,0))</f>
        <v>0.5</v>
      </c>
      <c r="L792">
        <f>INDEX(products!$A$1:$G$49,MATCH(orders!$D792,products!$A$1:$A$49,0),MATCH($L$1,products!$A$1:$G$1,0))</f>
        <v>7.77</v>
      </c>
      <c r="M792">
        <f t="shared" si="37"/>
        <v>23.31</v>
      </c>
      <c r="N792" t="str">
        <f t="shared" si="38"/>
        <v>Arabica</v>
      </c>
      <c r="O792" t="str">
        <f t="shared" si="39"/>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_xlfn.XLOOKUP(C793,customers!$A$2:$A$1001,customers!$B$2:$B$1001,0)</f>
        <v>Karylin Huddart</v>
      </c>
      <c r="G793" s="2" t="str">
        <f>_xlfn.XLOOKUP(C793,customers!$A$2:$A$1001,customers!$C$2:$C$1001,0)</f>
        <v>khuddartlz@about.com</v>
      </c>
      <c r="H793" s="2" t="str">
        <f>_xlfn.XLOOKUP(orders!C793,customers!$A$2:$A$1001,customers!$G$2:$G$1001,0)</f>
        <v>United States</v>
      </c>
      <c r="I793" t="str">
        <f>INDEX(products!$A$1:$G$49,MATCH(orders!$D793,products!$A$1:$A$49,0),MATCH($I$1,products!$A$1:$G$1,0))</f>
        <v>Lib</v>
      </c>
      <c r="J793" t="str">
        <f>INDEX(products!$A$1:$G$49,MATCH(orders!$D793,products!$A$1:$A$49,0),MATCH($J$1,products!$A$1:$G$1,0))</f>
        <v>L</v>
      </c>
      <c r="K793" s="1">
        <f>INDEX(products!$A$1:$G$49,MATCH(orders!$D793,products!$A$1:$A$49,0),MATCH($K$1,products!$A$1:$G$1,0))</f>
        <v>0.2</v>
      </c>
      <c r="L793">
        <f>INDEX(products!$A$1:$G$49,MATCH(orders!$D793,products!$A$1:$A$49,0),MATCH($L$1,products!$A$1:$G$1,0))</f>
        <v>4.7549999999999999</v>
      </c>
      <c r="M793">
        <f t="shared" si="37"/>
        <v>23.774999999999999</v>
      </c>
      <c r="N793" t="str">
        <f t="shared" si="38"/>
        <v>Liberica</v>
      </c>
      <c r="O793" t="str">
        <f t="shared" si="39"/>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_xlfn.XLOOKUP(C794,customers!$A$2:$A$1001,customers!$B$2:$B$1001,0)</f>
        <v>Jereme Gippes</v>
      </c>
      <c r="G794" s="2" t="str">
        <f>_xlfn.XLOOKUP(C794,customers!$A$2:$A$1001,customers!$C$2:$C$1001,0)</f>
        <v>jgippesm0@cloudflare.com</v>
      </c>
      <c r="H794" s="2" t="str">
        <f>_xlfn.XLOOKUP(orders!C794,customers!$A$2:$A$1001,customers!$G$2:$G$1001,0)</f>
        <v>United Kingdom</v>
      </c>
      <c r="I794" t="str">
        <f>INDEX(products!$A$1:$G$49,MATCH(orders!$D794,products!$A$1:$A$49,0),MATCH($I$1,products!$A$1:$G$1,0))</f>
        <v>Lib</v>
      </c>
      <c r="J794" t="str">
        <f>INDEX(products!$A$1:$G$49,MATCH(orders!$D794,products!$A$1:$A$49,0),MATCH($J$1,products!$A$1:$G$1,0))</f>
        <v>M</v>
      </c>
      <c r="K794" s="1">
        <f>INDEX(products!$A$1:$G$49,MATCH(orders!$D794,products!$A$1:$A$49,0),MATCH($K$1,products!$A$1:$G$1,0))</f>
        <v>0.5</v>
      </c>
      <c r="L794">
        <f>INDEX(products!$A$1:$G$49,MATCH(orders!$D794,products!$A$1:$A$49,0),MATCH($L$1,products!$A$1:$G$1,0))</f>
        <v>8.73</v>
      </c>
      <c r="M794">
        <f t="shared" si="37"/>
        <v>52.38</v>
      </c>
      <c r="N794" t="str">
        <f t="shared" si="38"/>
        <v>Liberica</v>
      </c>
      <c r="O794" t="str">
        <f t="shared" si="39"/>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_xlfn.XLOOKUP(C795,customers!$A$2:$A$1001,customers!$B$2:$B$1001,0)</f>
        <v>Lukas Whittlesee</v>
      </c>
      <c r="G795" s="2" t="str">
        <f>_xlfn.XLOOKUP(C795,customers!$A$2:$A$1001,customers!$C$2:$C$1001,0)</f>
        <v>lwhittleseem1@e-recht24.de</v>
      </c>
      <c r="H795" s="2" t="str">
        <f>_xlfn.XLOOKUP(orders!C795,customers!$A$2:$A$1001,customers!$G$2:$G$1001,0)</f>
        <v>United States</v>
      </c>
      <c r="I795" t="str">
        <f>INDEX(products!$A$1:$G$49,MATCH(orders!$D795,products!$A$1:$A$49,0),MATCH($I$1,products!$A$1:$G$1,0))</f>
        <v>Rob</v>
      </c>
      <c r="J795" t="str">
        <f>INDEX(products!$A$1:$G$49,MATCH(orders!$D795,products!$A$1:$A$49,0),MATCH($J$1,products!$A$1:$G$1,0))</f>
        <v>L</v>
      </c>
      <c r="K795" s="1">
        <f>INDEX(products!$A$1:$G$49,MATCH(orders!$D795,products!$A$1:$A$49,0),MATCH($K$1,products!$A$1:$G$1,0))</f>
        <v>0.2</v>
      </c>
      <c r="L795">
        <f>INDEX(products!$A$1:$G$49,MATCH(orders!$D795,products!$A$1:$A$49,0),MATCH($L$1,products!$A$1:$G$1,0))</f>
        <v>3.5849999999999995</v>
      </c>
      <c r="M795">
        <f t="shared" si="37"/>
        <v>17.924999999999997</v>
      </c>
      <c r="N795" t="str">
        <f t="shared" si="38"/>
        <v>Robusta</v>
      </c>
      <c r="O795" t="str">
        <f t="shared" si="39"/>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_xlfn.XLOOKUP(C796,customers!$A$2:$A$1001,customers!$B$2:$B$1001,0)</f>
        <v>Gregorius Trengrove</v>
      </c>
      <c r="G796" s="2" t="str">
        <f>_xlfn.XLOOKUP(C796,customers!$A$2:$A$1001,customers!$C$2:$C$1001,0)</f>
        <v>gtrengrovem2@elpais.com</v>
      </c>
      <c r="H796" s="2" t="str">
        <f>_xlfn.XLOOKUP(orders!C796,customers!$A$2:$A$1001,customers!$G$2:$G$1001,0)</f>
        <v>United States</v>
      </c>
      <c r="I796" t="str">
        <f>INDEX(products!$A$1:$G$49,MATCH(orders!$D796,products!$A$1:$A$49,0),MATCH($I$1,products!$A$1:$G$1,0))</f>
        <v>Ara</v>
      </c>
      <c r="J796" t="str">
        <f>INDEX(products!$A$1:$G$49,MATCH(orders!$D796,products!$A$1:$A$49,0),MATCH($J$1,products!$A$1:$G$1,0))</f>
        <v>L</v>
      </c>
      <c r="K796" s="1">
        <f>INDEX(products!$A$1:$G$49,MATCH(orders!$D796,products!$A$1:$A$49,0),MATCH($K$1,products!$A$1:$G$1,0))</f>
        <v>2.5</v>
      </c>
      <c r="L796">
        <f>INDEX(products!$A$1:$G$49,MATCH(orders!$D796,products!$A$1:$A$49,0),MATCH($L$1,products!$A$1:$G$1,0))</f>
        <v>29.784999999999997</v>
      </c>
      <c r="M796">
        <f t="shared" si="37"/>
        <v>148.92499999999998</v>
      </c>
      <c r="N796" t="str">
        <f t="shared" si="38"/>
        <v>Arabica</v>
      </c>
      <c r="O796" t="str">
        <f t="shared" si="39"/>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_xlfn.XLOOKUP(C797,customers!$A$2:$A$1001,customers!$B$2:$B$1001,0)</f>
        <v>Wright Caldero</v>
      </c>
      <c r="G797" s="2" t="str">
        <f>_xlfn.XLOOKUP(C797,customers!$A$2:$A$1001,customers!$C$2:$C$1001,0)</f>
        <v>wcalderom3@stumbleupon.com</v>
      </c>
      <c r="H797" s="2" t="str">
        <f>_xlfn.XLOOKUP(orders!C797,customers!$A$2:$A$1001,customers!$G$2:$G$1001,0)</f>
        <v>United States</v>
      </c>
      <c r="I797" t="str">
        <f>INDEX(products!$A$1:$G$49,MATCH(orders!$D797,products!$A$1:$A$49,0),MATCH($I$1,products!$A$1:$G$1,0))</f>
        <v>Rob</v>
      </c>
      <c r="J797" t="str">
        <f>INDEX(products!$A$1:$G$49,MATCH(orders!$D797,products!$A$1:$A$49,0),MATCH($J$1,products!$A$1:$G$1,0))</f>
        <v>L</v>
      </c>
      <c r="K797" s="1">
        <f>INDEX(products!$A$1:$G$49,MATCH(orders!$D797,products!$A$1:$A$49,0),MATCH($K$1,products!$A$1:$G$1,0))</f>
        <v>0.5</v>
      </c>
      <c r="L797">
        <f>INDEX(products!$A$1:$G$49,MATCH(orders!$D797,products!$A$1:$A$49,0),MATCH($L$1,products!$A$1:$G$1,0))</f>
        <v>7.169999999999999</v>
      </c>
      <c r="M797">
        <f t="shared" si="37"/>
        <v>28.679999999999996</v>
      </c>
      <c r="N797" t="str">
        <f t="shared" si="38"/>
        <v>Robusta</v>
      </c>
      <c r="O797" t="str">
        <f t="shared" si="39"/>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_xlfn.XLOOKUP(C798,customers!$A$2:$A$1001,customers!$B$2:$B$1001,0)</f>
        <v>Merell Zanazzi</v>
      </c>
      <c r="G798" s="2">
        <f>_xlfn.XLOOKUP(C798,customers!$A$2:$A$1001,customers!$C$2:$C$1001,0)</f>
        <v>0</v>
      </c>
      <c r="H798" s="2" t="str">
        <f>_xlfn.XLOOKUP(orders!C798,customers!$A$2:$A$1001,customers!$G$2:$G$1001,0)</f>
        <v>United States</v>
      </c>
      <c r="I798" t="str">
        <f>INDEX(products!$A$1:$G$49,MATCH(orders!$D798,products!$A$1:$A$49,0),MATCH($I$1,products!$A$1:$G$1,0))</f>
        <v>Lib</v>
      </c>
      <c r="J798" t="str">
        <f>INDEX(products!$A$1:$G$49,MATCH(orders!$D798,products!$A$1:$A$49,0),MATCH($J$1,products!$A$1:$G$1,0))</f>
        <v>L</v>
      </c>
      <c r="K798" s="1">
        <f>INDEX(products!$A$1:$G$49,MATCH(orders!$D798,products!$A$1:$A$49,0),MATCH($K$1,products!$A$1:$G$1,0))</f>
        <v>0.5</v>
      </c>
      <c r="L798">
        <f>INDEX(products!$A$1:$G$49,MATCH(orders!$D798,products!$A$1:$A$49,0),MATCH($L$1,products!$A$1:$G$1,0))</f>
        <v>9.51</v>
      </c>
      <c r="M798">
        <f t="shared" si="37"/>
        <v>9.51</v>
      </c>
      <c r="N798" t="str">
        <f t="shared" si="38"/>
        <v>Liberica</v>
      </c>
      <c r="O798" t="str">
        <f t="shared" si="39"/>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_xlfn.XLOOKUP(C799,customers!$A$2:$A$1001,customers!$B$2:$B$1001,0)</f>
        <v>Jed Kennicott</v>
      </c>
      <c r="G799" s="2" t="str">
        <f>_xlfn.XLOOKUP(C799,customers!$A$2:$A$1001,customers!$C$2:$C$1001,0)</f>
        <v>jkennicottm5@yahoo.co.jp</v>
      </c>
      <c r="H799" s="2" t="str">
        <f>_xlfn.XLOOKUP(orders!C799,customers!$A$2:$A$1001,customers!$G$2:$G$1001,0)</f>
        <v>United States</v>
      </c>
      <c r="I799" t="str">
        <f>INDEX(products!$A$1:$G$49,MATCH(orders!$D799,products!$A$1:$A$49,0),MATCH($I$1,products!$A$1:$G$1,0))</f>
        <v>Ara</v>
      </c>
      <c r="J799" t="str">
        <f>INDEX(products!$A$1:$G$49,MATCH(orders!$D799,products!$A$1:$A$49,0),MATCH($J$1,products!$A$1:$G$1,0))</f>
        <v>L</v>
      </c>
      <c r="K799" s="1">
        <f>INDEX(products!$A$1:$G$49,MATCH(orders!$D799,products!$A$1:$A$49,0),MATCH($K$1,products!$A$1:$G$1,0))</f>
        <v>0.5</v>
      </c>
      <c r="L799">
        <f>INDEX(products!$A$1:$G$49,MATCH(orders!$D799,products!$A$1:$A$49,0),MATCH($L$1,products!$A$1:$G$1,0))</f>
        <v>7.77</v>
      </c>
      <c r="M799">
        <f t="shared" si="37"/>
        <v>31.08</v>
      </c>
      <c r="N799" t="str">
        <f t="shared" si="38"/>
        <v>Arabica</v>
      </c>
      <c r="O799" t="str">
        <f t="shared" si="39"/>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_xlfn.XLOOKUP(C800,customers!$A$2:$A$1001,customers!$B$2:$B$1001,0)</f>
        <v>Guenevere Ruggen</v>
      </c>
      <c r="G800" s="2" t="str">
        <f>_xlfn.XLOOKUP(C800,customers!$A$2:$A$1001,customers!$C$2:$C$1001,0)</f>
        <v>gruggenm6@nymag.com</v>
      </c>
      <c r="H800" s="2" t="str">
        <f>_xlfn.XLOOKUP(orders!C800,customers!$A$2:$A$1001,customers!$G$2:$G$1001,0)</f>
        <v>United States</v>
      </c>
      <c r="I800" t="str">
        <f>INDEX(products!$A$1:$G$49,MATCH(orders!$D800,products!$A$1:$A$49,0),MATCH($I$1,products!$A$1:$G$1,0))</f>
        <v>Rob</v>
      </c>
      <c r="J800" t="str">
        <f>INDEX(products!$A$1:$G$49,MATCH(orders!$D800,products!$A$1:$A$49,0),MATCH($J$1,products!$A$1:$G$1,0))</f>
        <v>D</v>
      </c>
      <c r="K800" s="1">
        <f>INDEX(products!$A$1:$G$49,MATCH(orders!$D800,products!$A$1:$A$49,0),MATCH($K$1,products!$A$1:$G$1,0))</f>
        <v>0.2</v>
      </c>
      <c r="L800">
        <f>INDEX(products!$A$1:$G$49,MATCH(orders!$D800,products!$A$1:$A$49,0),MATCH($L$1,products!$A$1:$G$1,0))</f>
        <v>2.6849999999999996</v>
      </c>
      <c r="M800">
        <f t="shared" si="37"/>
        <v>8.0549999999999997</v>
      </c>
      <c r="N800" t="str">
        <f t="shared" si="38"/>
        <v>Robusta</v>
      </c>
      <c r="O800" t="str">
        <f t="shared" si="39"/>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_xlfn.XLOOKUP(C801,customers!$A$2:$A$1001,customers!$B$2:$B$1001,0)</f>
        <v>Gonzales Cicculi</v>
      </c>
      <c r="G801" s="2">
        <f>_xlfn.XLOOKUP(C801,customers!$A$2:$A$1001,customers!$C$2:$C$1001,0)</f>
        <v>0</v>
      </c>
      <c r="H801" s="2" t="str">
        <f>_xlfn.XLOOKUP(orders!C801,customers!$A$2:$A$1001,customers!$G$2:$G$1001,0)</f>
        <v>United States</v>
      </c>
      <c r="I801" t="str">
        <f>INDEX(products!$A$1:$G$49,MATCH(orders!$D801,products!$A$1:$A$49,0),MATCH($I$1,products!$A$1:$G$1,0))</f>
        <v>Exc</v>
      </c>
      <c r="J801" t="str">
        <f>INDEX(products!$A$1:$G$49,MATCH(orders!$D801,products!$A$1:$A$49,0),MATCH($J$1,products!$A$1:$G$1,0))</f>
        <v>D</v>
      </c>
      <c r="K801" s="1">
        <f>INDEX(products!$A$1:$G$49,MATCH(orders!$D801,products!$A$1:$A$49,0),MATCH($K$1,products!$A$1:$G$1,0))</f>
        <v>1</v>
      </c>
      <c r="L801">
        <f>INDEX(products!$A$1:$G$49,MATCH(orders!$D801,products!$A$1:$A$49,0),MATCH($L$1,products!$A$1:$G$1,0))</f>
        <v>12.15</v>
      </c>
      <c r="M801">
        <f t="shared" si="37"/>
        <v>36.450000000000003</v>
      </c>
      <c r="N801" t="str">
        <f t="shared" si="38"/>
        <v>Excelsa</v>
      </c>
      <c r="O801" t="str">
        <f t="shared" si="39"/>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_xlfn.XLOOKUP(C802,customers!$A$2:$A$1001,customers!$B$2:$B$1001,0)</f>
        <v>Man Fright</v>
      </c>
      <c r="G802" s="2" t="str">
        <f>_xlfn.XLOOKUP(C802,customers!$A$2:$A$1001,customers!$C$2:$C$1001,0)</f>
        <v>mfrightm8@harvard.edu</v>
      </c>
      <c r="H802" s="2" t="str">
        <f>_xlfn.XLOOKUP(orders!C802,customers!$A$2:$A$1001,customers!$G$2:$G$1001,0)</f>
        <v>Ireland</v>
      </c>
      <c r="I802" t="str">
        <f>INDEX(products!$A$1:$G$49,MATCH(orders!$D802,products!$A$1:$A$49,0),MATCH($I$1,products!$A$1:$G$1,0))</f>
        <v>Rob</v>
      </c>
      <c r="J802" t="str">
        <f>INDEX(products!$A$1:$G$49,MATCH(orders!$D802,products!$A$1:$A$49,0),MATCH($J$1,products!$A$1:$G$1,0))</f>
        <v>D</v>
      </c>
      <c r="K802" s="1">
        <f>INDEX(products!$A$1:$G$49,MATCH(orders!$D802,products!$A$1:$A$49,0),MATCH($K$1,products!$A$1:$G$1,0))</f>
        <v>0.2</v>
      </c>
      <c r="L802">
        <f>INDEX(products!$A$1:$G$49,MATCH(orders!$D802,products!$A$1:$A$49,0),MATCH($L$1,products!$A$1:$G$1,0))</f>
        <v>2.6849999999999996</v>
      </c>
      <c r="M802">
        <f t="shared" si="37"/>
        <v>16.11</v>
      </c>
      <c r="N802" t="str">
        <f t="shared" si="38"/>
        <v>Robusta</v>
      </c>
      <c r="O802" t="str">
        <f t="shared" si="39"/>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_xlfn.XLOOKUP(C803,customers!$A$2:$A$1001,customers!$B$2:$B$1001,0)</f>
        <v>Boyce Tarte</v>
      </c>
      <c r="G803" s="2" t="str">
        <f>_xlfn.XLOOKUP(C803,customers!$A$2:$A$1001,customers!$C$2:$C$1001,0)</f>
        <v>btartem9@aol.com</v>
      </c>
      <c r="H803" s="2" t="str">
        <f>_xlfn.XLOOKUP(orders!C803,customers!$A$2:$A$1001,customers!$G$2:$G$1001,0)</f>
        <v>United States</v>
      </c>
      <c r="I803" t="str">
        <f>INDEX(products!$A$1:$G$49,MATCH(orders!$D803,products!$A$1:$A$49,0),MATCH($I$1,products!$A$1:$G$1,0))</f>
        <v>Rob</v>
      </c>
      <c r="J803" t="str">
        <f>INDEX(products!$A$1:$G$49,MATCH(orders!$D803,products!$A$1:$A$49,0),MATCH($J$1,products!$A$1:$G$1,0))</f>
        <v>D</v>
      </c>
      <c r="K803" s="1">
        <f>INDEX(products!$A$1:$G$49,MATCH(orders!$D803,products!$A$1:$A$49,0),MATCH($K$1,products!$A$1:$G$1,0))</f>
        <v>2.5</v>
      </c>
      <c r="L803">
        <f>INDEX(products!$A$1:$G$49,MATCH(orders!$D803,products!$A$1:$A$49,0),MATCH($L$1,products!$A$1:$G$1,0))</f>
        <v>20.584999999999997</v>
      </c>
      <c r="M803">
        <f t="shared" si="37"/>
        <v>41.169999999999995</v>
      </c>
      <c r="N803" t="str">
        <f t="shared" si="38"/>
        <v>Robusta</v>
      </c>
      <c r="O803" t="str">
        <f t="shared" si="39"/>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_xlfn.XLOOKUP(C804,customers!$A$2:$A$1001,customers!$B$2:$B$1001,0)</f>
        <v>Caddric Krzysztofiak</v>
      </c>
      <c r="G804" s="2" t="str">
        <f>_xlfn.XLOOKUP(C804,customers!$A$2:$A$1001,customers!$C$2:$C$1001,0)</f>
        <v>ckrzysztofiakma@skyrock.com</v>
      </c>
      <c r="H804" s="2" t="str">
        <f>_xlfn.XLOOKUP(orders!C804,customers!$A$2:$A$1001,customers!$G$2:$G$1001,0)</f>
        <v>United States</v>
      </c>
      <c r="I804" t="str">
        <f>INDEX(products!$A$1:$G$49,MATCH(orders!$D804,products!$A$1:$A$49,0),MATCH($I$1,products!$A$1:$G$1,0))</f>
        <v>Rob</v>
      </c>
      <c r="J804" t="str">
        <f>INDEX(products!$A$1:$G$49,MATCH(orders!$D804,products!$A$1:$A$49,0),MATCH($J$1,products!$A$1:$G$1,0))</f>
        <v>D</v>
      </c>
      <c r="K804" s="1">
        <f>INDEX(products!$A$1:$G$49,MATCH(orders!$D804,products!$A$1:$A$49,0),MATCH($K$1,products!$A$1:$G$1,0))</f>
        <v>0.2</v>
      </c>
      <c r="L804">
        <f>INDEX(products!$A$1:$G$49,MATCH(orders!$D804,products!$A$1:$A$49,0),MATCH($L$1,products!$A$1:$G$1,0))</f>
        <v>2.6849999999999996</v>
      </c>
      <c r="M804">
        <f t="shared" si="37"/>
        <v>10.739999999999998</v>
      </c>
      <c r="N804" t="str">
        <f t="shared" si="38"/>
        <v>Robusta</v>
      </c>
      <c r="O804" t="str">
        <f t="shared" si="39"/>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_xlfn.XLOOKUP(C805,customers!$A$2:$A$1001,customers!$B$2:$B$1001,0)</f>
        <v>Darn Penquet</v>
      </c>
      <c r="G805" s="2" t="str">
        <f>_xlfn.XLOOKUP(C805,customers!$A$2:$A$1001,customers!$C$2:$C$1001,0)</f>
        <v>dpenquetmb@diigo.com</v>
      </c>
      <c r="H805" s="2" t="str">
        <f>_xlfn.XLOOKUP(orders!C805,customers!$A$2:$A$1001,customers!$G$2:$G$1001,0)</f>
        <v>United States</v>
      </c>
      <c r="I805" t="str">
        <f>INDEX(products!$A$1:$G$49,MATCH(orders!$D805,products!$A$1:$A$49,0),MATCH($I$1,products!$A$1:$G$1,0))</f>
        <v>Exc</v>
      </c>
      <c r="J805" t="str">
        <f>INDEX(products!$A$1:$G$49,MATCH(orders!$D805,products!$A$1:$A$49,0),MATCH($J$1,products!$A$1:$G$1,0))</f>
        <v>M</v>
      </c>
      <c r="K805" s="1">
        <f>INDEX(products!$A$1:$G$49,MATCH(orders!$D805,products!$A$1:$A$49,0),MATCH($K$1,products!$A$1:$G$1,0))</f>
        <v>2.5</v>
      </c>
      <c r="L805">
        <f>INDEX(products!$A$1:$G$49,MATCH(orders!$D805,products!$A$1:$A$49,0),MATCH($L$1,products!$A$1:$G$1,0))</f>
        <v>31.624999999999996</v>
      </c>
      <c r="M805">
        <f t="shared" si="37"/>
        <v>126.49999999999999</v>
      </c>
      <c r="N805" t="str">
        <f t="shared" si="38"/>
        <v>Excelsa</v>
      </c>
      <c r="O805" t="str">
        <f t="shared" si="39"/>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_xlfn.XLOOKUP(C806,customers!$A$2:$A$1001,customers!$B$2:$B$1001,0)</f>
        <v>Jammie Cloke</v>
      </c>
      <c r="G806" s="2">
        <f>_xlfn.XLOOKUP(C806,customers!$A$2:$A$1001,customers!$C$2:$C$1001,0)</f>
        <v>0</v>
      </c>
      <c r="H806" s="2" t="str">
        <f>_xlfn.XLOOKUP(orders!C806,customers!$A$2:$A$1001,customers!$G$2:$G$1001,0)</f>
        <v>United Kingdom</v>
      </c>
      <c r="I806" t="str">
        <f>INDEX(products!$A$1:$G$49,MATCH(orders!$D806,products!$A$1:$A$49,0),MATCH($I$1,products!$A$1:$G$1,0))</f>
        <v>Rob</v>
      </c>
      <c r="J806" t="str">
        <f>INDEX(products!$A$1:$G$49,MATCH(orders!$D806,products!$A$1:$A$49,0),MATCH($J$1,products!$A$1:$G$1,0))</f>
        <v>L</v>
      </c>
      <c r="K806" s="1">
        <f>INDEX(products!$A$1:$G$49,MATCH(orders!$D806,products!$A$1:$A$49,0),MATCH($K$1,products!$A$1:$G$1,0))</f>
        <v>1</v>
      </c>
      <c r="L806">
        <f>INDEX(products!$A$1:$G$49,MATCH(orders!$D806,products!$A$1:$A$49,0),MATCH($L$1,products!$A$1:$G$1,0))</f>
        <v>11.95</v>
      </c>
      <c r="M806">
        <f t="shared" si="37"/>
        <v>23.9</v>
      </c>
      <c r="N806" t="str">
        <f t="shared" si="38"/>
        <v>Robusta</v>
      </c>
      <c r="O806" t="str">
        <f t="shared" si="39"/>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_xlfn.XLOOKUP(C807,customers!$A$2:$A$1001,customers!$B$2:$B$1001,0)</f>
        <v>Chester Clowton</v>
      </c>
      <c r="G807" s="2">
        <f>_xlfn.XLOOKUP(C807,customers!$A$2:$A$1001,customers!$C$2:$C$1001,0)</f>
        <v>0</v>
      </c>
      <c r="H807" s="2" t="str">
        <f>_xlfn.XLOOKUP(orders!C807,customers!$A$2:$A$1001,customers!$G$2:$G$1001,0)</f>
        <v>United States</v>
      </c>
      <c r="I807" t="str">
        <f>INDEX(products!$A$1:$G$49,MATCH(orders!$D807,products!$A$1:$A$49,0),MATCH($I$1,products!$A$1:$G$1,0))</f>
        <v>Rob</v>
      </c>
      <c r="J807" t="str">
        <f>INDEX(products!$A$1:$G$49,MATCH(orders!$D807,products!$A$1:$A$49,0),MATCH($J$1,products!$A$1:$G$1,0))</f>
        <v>M</v>
      </c>
      <c r="K807" s="1">
        <f>INDEX(products!$A$1:$G$49,MATCH(orders!$D807,products!$A$1:$A$49,0),MATCH($K$1,products!$A$1:$G$1,0))</f>
        <v>0.5</v>
      </c>
      <c r="L807">
        <f>INDEX(products!$A$1:$G$49,MATCH(orders!$D807,products!$A$1:$A$49,0),MATCH($L$1,products!$A$1:$G$1,0))</f>
        <v>5.97</v>
      </c>
      <c r="M807">
        <f t="shared" si="37"/>
        <v>5.97</v>
      </c>
      <c r="N807" t="str">
        <f t="shared" si="38"/>
        <v>Robusta</v>
      </c>
      <c r="O807" t="str">
        <f t="shared" si="39"/>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_xlfn.XLOOKUP(C808,customers!$A$2:$A$1001,customers!$B$2:$B$1001,0)</f>
        <v>Kathleen Diable</v>
      </c>
      <c r="G808" s="2">
        <f>_xlfn.XLOOKUP(C808,customers!$A$2:$A$1001,customers!$C$2:$C$1001,0)</f>
        <v>0</v>
      </c>
      <c r="H808" s="2" t="str">
        <f>_xlfn.XLOOKUP(orders!C808,customers!$A$2:$A$1001,customers!$G$2:$G$1001,0)</f>
        <v>United Kingdom</v>
      </c>
      <c r="I808" t="str">
        <f>INDEX(products!$A$1:$G$49,MATCH(orders!$D808,products!$A$1:$A$49,0),MATCH($I$1,products!$A$1:$G$1,0))</f>
        <v>Lib</v>
      </c>
      <c r="J808" t="str">
        <f>INDEX(products!$A$1:$G$49,MATCH(orders!$D808,products!$A$1:$A$49,0),MATCH($J$1,products!$A$1:$G$1,0))</f>
        <v>D</v>
      </c>
      <c r="K808" s="1">
        <f>INDEX(products!$A$1:$G$49,MATCH(orders!$D808,products!$A$1:$A$49,0),MATCH($K$1,products!$A$1:$G$1,0))</f>
        <v>0.2</v>
      </c>
      <c r="L808">
        <f>INDEX(products!$A$1:$G$49,MATCH(orders!$D808,products!$A$1:$A$49,0),MATCH($L$1,products!$A$1:$G$1,0))</f>
        <v>3.8849999999999998</v>
      </c>
      <c r="M808">
        <f t="shared" si="37"/>
        <v>7.77</v>
      </c>
      <c r="N808" t="str">
        <f t="shared" si="38"/>
        <v>Liberica</v>
      </c>
      <c r="O808" t="str">
        <f t="shared" si="39"/>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_xlfn.XLOOKUP(C809,customers!$A$2:$A$1001,customers!$B$2:$B$1001,0)</f>
        <v>Koren Ferretti</v>
      </c>
      <c r="G809" s="2" t="str">
        <f>_xlfn.XLOOKUP(C809,customers!$A$2:$A$1001,customers!$C$2:$C$1001,0)</f>
        <v>kferrettimf@huffingtonpost.com</v>
      </c>
      <c r="H809" s="2" t="str">
        <f>_xlfn.XLOOKUP(orders!C809,customers!$A$2:$A$1001,customers!$G$2:$G$1001,0)</f>
        <v>Ireland</v>
      </c>
      <c r="I809" t="str">
        <f>INDEX(products!$A$1:$G$49,MATCH(orders!$D809,products!$A$1:$A$49,0),MATCH($I$1,products!$A$1:$G$1,0))</f>
        <v>Lib</v>
      </c>
      <c r="J809" t="str">
        <f>INDEX(products!$A$1:$G$49,MATCH(orders!$D809,products!$A$1:$A$49,0),MATCH($J$1,products!$A$1:$G$1,0))</f>
        <v>D</v>
      </c>
      <c r="K809" s="1">
        <f>INDEX(products!$A$1:$G$49,MATCH(orders!$D809,products!$A$1:$A$49,0),MATCH($K$1,products!$A$1:$G$1,0))</f>
        <v>0.5</v>
      </c>
      <c r="L809">
        <f>INDEX(products!$A$1:$G$49,MATCH(orders!$D809,products!$A$1:$A$49,0),MATCH($L$1,products!$A$1:$G$1,0))</f>
        <v>7.77</v>
      </c>
      <c r="M809">
        <f t="shared" si="37"/>
        <v>23.31</v>
      </c>
      <c r="N809" t="str">
        <f t="shared" si="38"/>
        <v>Liberica</v>
      </c>
      <c r="O809" t="str">
        <f t="shared" si="39"/>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_xlfn.XLOOKUP(C810,customers!$A$2:$A$1001,customers!$B$2:$B$1001,0)</f>
        <v>Allis Wilmore</v>
      </c>
      <c r="G810" s="2">
        <f>_xlfn.XLOOKUP(C810,customers!$A$2:$A$1001,customers!$C$2:$C$1001,0)</f>
        <v>0</v>
      </c>
      <c r="H810" s="2" t="str">
        <f>_xlfn.XLOOKUP(orders!C810,customers!$A$2:$A$1001,customers!$G$2:$G$1001,0)</f>
        <v>United States</v>
      </c>
      <c r="I810" t="str">
        <f>INDEX(products!$A$1:$G$49,MATCH(orders!$D810,products!$A$1:$A$49,0),MATCH($I$1,products!$A$1:$G$1,0))</f>
        <v>Rob</v>
      </c>
      <c r="J810" t="str">
        <f>INDEX(products!$A$1:$G$49,MATCH(orders!$D810,products!$A$1:$A$49,0),MATCH($J$1,products!$A$1:$G$1,0))</f>
        <v>L</v>
      </c>
      <c r="K810" s="1">
        <f>INDEX(products!$A$1:$G$49,MATCH(orders!$D810,products!$A$1:$A$49,0),MATCH($K$1,products!$A$1:$G$1,0))</f>
        <v>2.5</v>
      </c>
      <c r="L810">
        <f>INDEX(products!$A$1:$G$49,MATCH(orders!$D810,products!$A$1:$A$49,0),MATCH($L$1,products!$A$1:$G$1,0))</f>
        <v>27.484999999999996</v>
      </c>
      <c r="M810">
        <f t="shared" si="37"/>
        <v>137.42499999999998</v>
      </c>
      <c r="N810" t="str">
        <f t="shared" si="38"/>
        <v>Robusta</v>
      </c>
      <c r="O810" t="str">
        <f t="shared" si="39"/>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_xlfn.XLOOKUP(C811,customers!$A$2:$A$1001,customers!$B$2:$B$1001,0)</f>
        <v>Chaddie Bennie</v>
      </c>
      <c r="G811" s="2">
        <f>_xlfn.XLOOKUP(C811,customers!$A$2:$A$1001,customers!$C$2:$C$1001,0)</f>
        <v>0</v>
      </c>
      <c r="H811" s="2" t="str">
        <f>_xlfn.XLOOKUP(orders!C811,customers!$A$2:$A$1001,customers!$G$2:$G$1001,0)</f>
        <v>United States</v>
      </c>
      <c r="I811" t="str">
        <f>INDEX(products!$A$1:$G$49,MATCH(orders!$D811,products!$A$1:$A$49,0),MATCH($I$1,products!$A$1:$G$1,0))</f>
        <v>Rob</v>
      </c>
      <c r="J811" t="str">
        <f>INDEX(products!$A$1:$G$49,MATCH(orders!$D811,products!$A$1:$A$49,0),MATCH($J$1,products!$A$1:$G$1,0))</f>
        <v>D</v>
      </c>
      <c r="K811" s="1">
        <f>INDEX(products!$A$1:$G$49,MATCH(orders!$D811,products!$A$1:$A$49,0),MATCH($K$1,products!$A$1:$G$1,0))</f>
        <v>0.2</v>
      </c>
      <c r="L811">
        <f>INDEX(products!$A$1:$G$49,MATCH(orders!$D811,products!$A$1:$A$49,0),MATCH($L$1,products!$A$1:$G$1,0))</f>
        <v>2.6849999999999996</v>
      </c>
      <c r="M811">
        <f t="shared" si="37"/>
        <v>8.0549999999999997</v>
      </c>
      <c r="N811" t="str">
        <f t="shared" si="38"/>
        <v>Robusta</v>
      </c>
      <c r="O811" t="str">
        <f t="shared" si="39"/>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_xlfn.XLOOKUP(C812,customers!$A$2:$A$1001,customers!$B$2:$B$1001,0)</f>
        <v>Alberta Balsdone</v>
      </c>
      <c r="G812" s="2" t="str">
        <f>_xlfn.XLOOKUP(C812,customers!$A$2:$A$1001,customers!$C$2:$C$1001,0)</f>
        <v>abalsdonemi@toplist.cz</v>
      </c>
      <c r="H812" s="2" t="str">
        <f>_xlfn.XLOOKUP(orders!C812,customers!$A$2:$A$1001,customers!$G$2:$G$1001,0)</f>
        <v>United States</v>
      </c>
      <c r="I812" t="str">
        <f>INDEX(products!$A$1:$G$49,MATCH(orders!$D812,products!$A$1:$A$49,0),MATCH($I$1,products!$A$1:$G$1,0))</f>
        <v>Lib</v>
      </c>
      <c r="J812" t="str">
        <f>INDEX(products!$A$1:$G$49,MATCH(orders!$D812,products!$A$1:$A$49,0),MATCH($J$1,products!$A$1:$G$1,0))</f>
        <v>L</v>
      </c>
      <c r="K812" s="1">
        <f>INDEX(products!$A$1:$G$49,MATCH(orders!$D812,products!$A$1:$A$49,0),MATCH($K$1,products!$A$1:$G$1,0))</f>
        <v>0.5</v>
      </c>
      <c r="L812">
        <f>INDEX(products!$A$1:$G$49,MATCH(orders!$D812,products!$A$1:$A$49,0),MATCH($L$1,products!$A$1:$G$1,0))</f>
        <v>9.51</v>
      </c>
      <c r="M812">
        <f t="shared" si="37"/>
        <v>28.53</v>
      </c>
      <c r="N812" t="str">
        <f t="shared" si="38"/>
        <v>Liberica</v>
      </c>
      <c r="O812" t="str">
        <f t="shared" si="39"/>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_xlfn.XLOOKUP(C813,customers!$A$2:$A$1001,customers!$B$2:$B$1001,0)</f>
        <v>Brice Romera</v>
      </c>
      <c r="G813" s="2" t="str">
        <f>_xlfn.XLOOKUP(C813,customers!$A$2:$A$1001,customers!$C$2:$C$1001,0)</f>
        <v>bromeramj@list-manage.com</v>
      </c>
      <c r="H813" s="2" t="str">
        <f>_xlfn.XLOOKUP(orders!C813,customers!$A$2:$A$1001,customers!$G$2:$G$1001,0)</f>
        <v>Ireland</v>
      </c>
      <c r="I813" t="str">
        <f>INDEX(products!$A$1:$G$49,MATCH(orders!$D813,products!$A$1:$A$49,0),MATCH($I$1,products!$A$1:$G$1,0))</f>
        <v>Ara</v>
      </c>
      <c r="J813" t="str">
        <f>INDEX(products!$A$1:$G$49,MATCH(orders!$D813,products!$A$1:$A$49,0),MATCH($J$1,products!$A$1:$G$1,0))</f>
        <v>M</v>
      </c>
      <c r="K813" s="1">
        <f>INDEX(products!$A$1:$G$49,MATCH(orders!$D813,products!$A$1:$A$49,0),MATCH($K$1,products!$A$1:$G$1,0))</f>
        <v>1</v>
      </c>
      <c r="L813">
        <f>INDEX(products!$A$1:$G$49,MATCH(orders!$D813,products!$A$1:$A$49,0),MATCH($L$1,products!$A$1:$G$1,0))</f>
        <v>11.25</v>
      </c>
      <c r="M813">
        <f t="shared" si="37"/>
        <v>67.5</v>
      </c>
      <c r="N813" t="str">
        <f t="shared" si="38"/>
        <v>Arabica</v>
      </c>
      <c r="O813" t="str">
        <f t="shared" si="39"/>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_xlfn.XLOOKUP(C814,customers!$A$2:$A$1001,customers!$B$2:$B$1001,0)</f>
        <v>Brice Romera</v>
      </c>
      <c r="G814" s="2" t="str">
        <f>_xlfn.XLOOKUP(C814,customers!$A$2:$A$1001,customers!$C$2:$C$1001,0)</f>
        <v>bromeramj@list-manage.com</v>
      </c>
      <c r="H814" s="2" t="str">
        <f>_xlfn.XLOOKUP(orders!C814,customers!$A$2:$A$1001,customers!$G$2:$G$1001,0)</f>
        <v>Ireland</v>
      </c>
      <c r="I814" t="str">
        <f>INDEX(products!$A$1:$G$49,MATCH(orders!$D814,products!$A$1:$A$49,0),MATCH($I$1,products!$A$1:$G$1,0))</f>
        <v>Lib</v>
      </c>
      <c r="J814" t="str">
        <f>INDEX(products!$A$1:$G$49,MATCH(orders!$D814,products!$A$1:$A$49,0),MATCH($J$1,products!$A$1:$G$1,0))</f>
        <v>D</v>
      </c>
      <c r="K814" s="1">
        <f>INDEX(products!$A$1:$G$49,MATCH(orders!$D814,products!$A$1:$A$49,0),MATCH($K$1,products!$A$1:$G$1,0))</f>
        <v>2.5</v>
      </c>
      <c r="L814">
        <f>INDEX(products!$A$1:$G$49,MATCH(orders!$D814,products!$A$1:$A$49,0),MATCH($L$1,products!$A$1:$G$1,0))</f>
        <v>29.784999999999997</v>
      </c>
      <c r="M814">
        <f t="shared" si="37"/>
        <v>178.70999999999998</v>
      </c>
      <c r="N814" t="str">
        <f t="shared" si="38"/>
        <v>Liberica</v>
      </c>
      <c r="O814" t="str">
        <f t="shared" si="39"/>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_xlfn.XLOOKUP(C815,customers!$A$2:$A$1001,customers!$B$2:$B$1001,0)</f>
        <v>Conchita Bryde</v>
      </c>
      <c r="G815" s="2" t="str">
        <f>_xlfn.XLOOKUP(C815,customers!$A$2:$A$1001,customers!$C$2:$C$1001,0)</f>
        <v>cbrydeml@tuttocitta.it</v>
      </c>
      <c r="H815" s="2" t="str">
        <f>_xlfn.XLOOKUP(orders!C815,customers!$A$2:$A$1001,customers!$G$2:$G$1001,0)</f>
        <v>United States</v>
      </c>
      <c r="I815" t="str">
        <f>INDEX(products!$A$1:$G$49,MATCH(orders!$D815,products!$A$1:$A$49,0),MATCH($I$1,products!$A$1:$G$1,0))</f>
        <v>Exc</v>
      </c>
      <c r="J815" t="str">
        <f>INDEX(products!$A$1:$G$49,MATCH(orders!$D815,products!$A$1:$A$49,0),MATCH($J$1,products!$A$1:$G$1,0))</f>
        <v>M</v>
      </c>
      <c r="K815" s="1">
        <f>INDEX(products!$A$1:$G$49,MATCH(orders!$D815,products!$A$1:$A$49,0),MATCH($K$1,products!$A$1:$G$1,0))</f>
        <v>2.5</v>
      </c>
      <c r="L815">
        <f>INDEX(products!$A$1:$G$49,MATCH(orders!$D815,products!$A$1:$A$49,0),MATCH($L$1,products!$A$1:$G$1,0))</f>
        <v>31.624999999999996</v>
      </c>
      <c r="M815">
        <f t="shared" si="37"/>
        <v>31.624999999999996</v>
      </c>
      <c r="N815" t="str">
        <f t="shared" si="38"/>
        <v>Excelsa</v>
      </c>
      <c r="O815" t="str">
        <f t="shared" si="39"/>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_xlfn.XLOOKUP(C816,customers!$A$2:$A$1001,customers!$B$2:$B$1001,0)</f>
        <v>Silvanus Enefer</v>
      </c>
      <c r="G816" s="2" t="str">
        <f>_xlfn.XLOOKUP(C816,customers!$A$2:$A$1001,customers!$C$2:$C$1001,0)</f>
        <v>senefermm@blog.com</v>
      </c>
      <c r="H816" s="2" t="str">
        <f>_xlfn.XLOOKUP(orders!C816,customers!$A$2:$A$1001,customers!$G$2:$G$1001,0)</f>
        <v>United States</v>
      </c>
      <c r="I816" t="str">
        <f>INDEX(products!$A$1:$G$49,MATCH(orders!$D816,products!$A$1:$A$49,0),MATCH($I$1,products!$A$1:$G$1,0))</f>
        <v>Exc</v>
      </c>
      <c r="J816" t="str">
        <f>INDEX(products!$A$1:$G$49,MATCH(orders!$D816,products!$A$1:$A$49,0),MATCH($J$1,products!$A$1:$G$1,0))</f>
        <v>L</v>
      </c>
      <c r="K816" s="1">
        <f>INDEX(products!$A$1:$G$49,MATCH(orders!$D816,products!$A$1:$A$49,0),MATCH($K$1,products!$A$1:$G$1,0))</f>
        <v>0.2</v>
      </c>
      <c r="L816">
        <f>INDEX(products!$A$1:$G$49,MATCH(orders!$D816,products!$A$1:$A$49,0),MATCH($L$1,products!$A$1:$G$1,0))</f>
        <v>4.4550000000000001</v>
      </c>
      <c r="M816">
        <f t="shared" si="37"/>
        <v>8.91</v>
      </c>
      <c r="N816" t="str">
        <f t="shared" si="38"/>
        <v>Excelsa</v>
      </c>
      <c r="O816" t="str">
        <f t="shared" si="39"/>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_xlfn.XLOOKUP(C817,customers!$A$2:$A$1001,customers!$B$2:$B$1001,0)</f>
        <v>Lenci Haggerstone</v>
      </c>
      <c r="G817" s="2" t="str">
        <f>_xlfn.XLOOKUP(C817,customers!$A$2:$A$1001,customers!$C$2:$C$1001,0)</f>
        <v>lhaggerstonemn@independent.co.uk</v>
      </c>
      <c r="H817" s="2" t="str">
        <f>_xlfn.XLOOKUP(orders!C817,customers!$A$2:$A$1001,customers!$G$2:$G$1001,0)</f>
        <v>United States</v>
      </c>
      <c r="I817" t="str">
        <f>INDEX(products!$A$1:$G$49,MATCH(orders!$D817,products!$A$1:$A$49,0),MATCH($I$1,products!$A$1:$G$1,0))</f>
        <v>Rob</v>
      </c>
      <c r="J817" t="str">
        <f>INDEX(products!$A$1:$G$49,MATCH(orders!$D817,products!$A$1:$A$49,0),MATCH($J$1,products!$A$1:$G$1,0))</f>
        <v>M</v>
      </c>
      <c r="K817" s="1">
        <f>INDEX(products!$A$1:$G$49,MATCH(orders!$D817,products!$A$1:$A$49,0),MATCH($K$1,products!$A$1:$G$1,0))</f>
        <v>0.5</v>
      </c>
      <c r="L817">
        <f>INDEX(products!$A$1:$G$49,MATCH(orders!$D817,products!$A$1:$A$49,0),MATCH($L$1,products!$A$1:$G$1,0))</f>
        <v>5.97</v>
      </c>
      <c r="M817">
        <f t="shared" si="37"/>
        <v>35.82</v>
      </c>
      <c r="N817" t="str">
        <f t="shared" si="38"/>
        <v>Robusta</v>
      </c>
      <c r="O817" t="str">
        <f t="shared" si="39"/>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_xlfn.XLOOKUP(C818,customers!$A$2:$A$1001,customers!$B$2:$B$1001,0)</f>
        <v>Marvin Gundry</v>
      </c>
      <c r="G818" s="2" t="str">
        <f>_xlfn.XLOOKUP(C818,customers!$A$2:$A$1001,customers!$C$2:$C$1001,0)</f>
        <v>mgundrymo@omniture.com</v>
      </c>
      <c r="H818" s="2" t="str">
        <f>_xlfn.XLOOKUP(orders!C818,customers!$A$2:$A$1001,customers!$G$2:$G$1001,0)</f>
        <v>Ireland</v>
      </c>
      <c r="I818" t="str">
        <f>INDEX(products!$A$1:$G$49,MATCH(orders!$D818,products!$A$1:$A$49,0),MATCH($I$1,products!$A$1:$G$1,0))</f>
        <v>Lib</v>
      </c>
      <c r="J818" t="str">
        <f>INDEX(products!$A$1:$G$49,MATCH(orders!$D818,products!$A$1:$A$49,0),MATCH($J$1,products!$A$1:$G$1,0))</f>
        <v>L</v>
      </c>
      <c r="K818" s="1">
        <f>INDEX(products!$A$1:$G$49,MATCH(orders!$D818,products!$A$1:$A$49,0),MATCH($K$1,products!$A$1:$G$1,0))</f>
        <v>0.5</v>
      </c>
      <c r="L818">
        <f>INDEX(products!$A$1:$G$49,MATCH(orders!$D818,products!$A$1:$A$49,0),MATCH($L$1,products!$A$1:$G$1,0))</f>
        <v>9.51</v>
      </c>
      <c r="M818">
        <f t="shared" si="37"/>
        <v>38.04</v>
      </c>
      <c r="N818" t="str">
        <f t="shared" si="38"/>
        <v>Liberica</v>
      </c>
      <c r="O818" t="str">
        <f t="shared" si="39"/>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_xlfn.XLOOKUP(C819,customers!$A$2:$A$1001,customers!$B$2:$B$1001,0)</f>
        <v>Bayard Wellan</v>
      </c>
      <c r="G819" s="2" t="str">
        <f>_xlfn.XLOOKUP(C819,customers!$A$2:$A$1001,customers!$C$2:$C$1001,0)</f>
        <v>bwellanmp@cafepress.com</v>
      </c>
      <c r="H819" s="2" t="str">
        <f>_xlfn.XLOOKUP(orders!C819,customers!$A$2:$A$1001,customers!$G$2:$G$1001,0)</f>
        <v>United States</v>
      </c>
      <c r="I819" t="str">
        <f>INDEX(products!$A$1:$G$49,MATCH(orders!$D819,products!$A$1:$A$49,0),MATCH($I$1,products!$A$1:$G$1,0))</f>
        <v>Lib</v>
      </c>
      <c r="J819" t="str">
        <f>INDEX(products!$A$1:$G$49,MATCH(orders!$D819,products!$A$1:$A$49,0),MATCH($J$1,products!$A$1:$G$1,0))</f>
        <v>D</v>
      </c>
      <c r="K819" s="1">
        <f>INDEX(products!$A$1:$G$49,MATCH(orders!$D819,products!$A$1:$A$49,0),MATCH($K$1,products!$A$1:$G$1,0))</f>
        <v>0.5</v>
      </c>
      <c r="L819">
        <f>INDEX(products!$A$1:$G$49,MATCH(orders!$D819,products!$A$1:$A$49,0),MATCH($L$1,products!$A$1:$G$1,0))</f>
        <v>7.77</v>
      </c>
      <c r="M819">
        <f t="shared" si="37"/>
        <v>15.54</v>
      </c>
      <c r="N819" t="str">
        <f t="shared" si="38"/>
        <v>Liberica</v>
      </c>
      <c r="O819" t="str">
        <f t="shared" si="39"/>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_xlfn.XLOOKUP(C820,customers!$A$2:$A$1001,customers!$B$2:$B$1001,0)</f>
        <v>Allis Wilmore</v>
      </c>
      <c r="G820" s="2">
        <f>_xlfn.XLOOKUP(C820,customers!$A$2:$A$1001,customers!$C$2:$C$1001,0)</f>
        <v>0</v>
      </c>
      <c r="H820" s="2" t="str">
        <f>_xlfn.XLOOKUP(orders!C820,customers!$A$2:$A$1001,customers!$G$2:$G$1001,0)</f>
        <v>United States</v>
      </c>
      <c r="I820" t="str">
        <f>INDEX(products!$A$1:$G$49,MATCH(orders!$D820,products!$A$1:$A$49,0),MATCH($I$1,products!$A$1:$G$1,0))</f>
        <v>Lib</v>
      </c>
      <c r="J820" t="str">
        <f>INDEX(products!$A$1:$G$49,MATCH(orders!$D820,products!$A$1:$A$49,0),MATCH($J$1,products!$A$1:$G$1,0))</f>
        <v>L</v>
      </c>
      <c r="K820" s="1">
        <f>INDEX(products!$A$1:$G$49,MATCH(orders!$D820,products!$A$1:$A$49,0),MATCH($K$1,products!$A$1:$G$1,0))</f>
        <v>1</v>
      </c>
      <c r="L820">
        <f>INDEX(products!$A$1:$G$49,MATCH(orders!$D820,products!$A$1:$A$49,0),MATCH($L$1,products!$A$1:$G$1,0))</f>
        <v>15.85</v>
      </c>
      <c r="M820">
        <f t="shared" si="37"/>
        <v>79.25</v>
      </c>
      <c r="N820" t="str">
        <f t="shared" si="38"/>
        <v>Liberica</v>
      </c>
      <c r="O820" t="str">
        <f t="shared" si="39"/>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_xlfn.XLOOKUP(C821,customers!$A$2:$A$1001,customers!$B$2:$B$1001,0)</f>
        <v>Caddric Atcheson</v>
      </c>
      <c r="G821" s="2" t="str">
        <f>_xlfn.XLOOKUP(C821,customers!$A$2:$A$1001,customers!$C$2:$C$1001,0)</f>
        <v>catchesonmr@xinhuanet.com</v>
      </c>
      <c r="H821" s="2" t="str">
        <f>_xlfn.XLOOKUP(orders!C821,customers!$A$2:$A$1001,customers!$G$2:$G$1001,0)</f>
        <v>United States</v>
      </c>
      <c r="I821" t="str">
        <f>INDEX(products!$A$1:$G$49,MATCH(orders!$D821,products!$A$1:$A$49,0),MATCH($I$1,products!$A$1:$G$1,0))</f>
        <v>Lib</v>
      </c>
      <c r="J821" t="str">
        <f>INDEX(products!$A$1:$G$49,MATCH(orders!$D821,products!$A$1:$A$49,0),MATCH($J$1,products!$A$1:$G$1,0))</f>
        <v>L</v>
      </c>
      <c r="K821" s="1">
        <f>INDEX(products!$A$1:$G$49,MATCH(orders!$D821,products!$A$1:$A$49,0),MATCH($K$1,products!$A$1:$G$1,0))</f>
        <v>0.2</v>
      </c>
      <c r="L821">
        <f>INDEX(products!$A$1:$G$49,MATCH(orders!$D821,products!$A$1:$A$49,0),MATCH($L$1,products!$A$1:$G$1,0))</f>
        <v>4.7549999999999999</v>
      </c>
      <c r="M821">
        <f t="shared" si="37"/>
        <v>4.7549999999999999</v>
      </c>
      <c r="N821" t="str">
        <f t="shared" si="38"/>
        <v>Liberica</v>
      </c>
      <c r="O821" t="str">
        <f t="shared" si="39"/>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_xlfn.XLOOKUP(C822,customers!$A$2:$A$1001,customers!$B$2:$B$1001,0)</f>
        <v>Eustace Stenton</v>
      </c>
      <c r="G822" s="2" t="str">
        <f>_xlfn.XLOOKUP(C822,customers!$A$2:$A$1001,customers!$C$2:$C$1001,0)</f>
        <v>estentonms@google.it</v>
      </c>
      <c r="H822" s="2" t="str">
        <f>_xlfn.XLOOKUP(orders!C822,customers!$A$2:$A$1001,customers!$G$2:$G$1001,0)</f>
        <v>United States</v>
      </c>
      <c r="I822" t="str">
        <f>INDEX(products!$A$1:$G$49,MATCH(orders!$D822,products!$A$1:$A$49,0),MATCH($I$1,products!$A$1:$G$1,0))</f>
        <v>Exc</v>
      </c>
      <c r="J822" t="str">
        <f>INDEX(products!$A$1:$G$49,MATCH(orders!$D822,products!$A$1:$A$49,0),MATCH($J$1,products!$A$1:$G$1,0))</f>
        <v>M</v>
      </c>
      <c r="K822" s="1">
        <f>INDEX(products!$A$1:$G$49,MATCH(orders!$D822,products!$A$1:$A$49,0),MATCH($K$1,products!$A$1:$G$1,0))</f>
        <v>1</v>
      </c>
      <c r="L822">
        <f>INDEX(products!$A$1:$G$49,MATCH(orders!$D822,products!$A$1:$A$49,0),MATCH($L$1,products!$A$1:$G$1,0))</f>
        <v>13.75</v>
      </c>
      <c r="M822">
        <f t="shared" si="37"/>
        <v>55</v>
      </c>
      <c r="N822" t="str">
        <f t="shared" si="38"/>
        <v>Excelsa</v>
      </c>
      <c r="O822" t="str">
        <f t="shared" si="39"/>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_xlfn.XLOOKUP(C823,customers!$A$2:$A$1001,customers!$B$2:$B$1001,0)</f>
        <v>Ericka Tripp</v>
      </c>
      <c r="G823" s="2" t="str">
        <f>_xlfn.XLOOKUP(C823,customers!$A$2:$A$1001,customers!$C$2:$C$1001,0)</f>
        <v>etrippmt@wp.com</v>
      </c>
      <c r="H823" s="2" t="str">
        <f>_xlfn.XLOOKUP(orders!C823,customers!$A$2:$A$1001,customers!$G$2:$G$1001,0)</f>
        <v>United States</v>
      </c>
      <c r="I823" t="str">
        <f>INDEX(products!$A$1:$G$49,MATCH(orders!$D823,products!$A$1:$A$49,0),MATCH($I$1,products!$A$1:$G$1,0))</f>
        <v>Rob</v>
      </c>
      <c r="J823" t="str">
        <f>INDEX(products!$A$1:$G$49,MATCH(orders!$D823,products!$A$1:$A$49,0),MATCH($J$1,products!$A$1:$G$1,0))</f>
        <v>D</v>
      </c>
      <c r="K823" s="1">
        <f>INDEX(products!$A$1:$G$49,MATCH(orders!$D823,products!$A$1:$A$49,0),MATCH($K$1,products!$A$1:$G$1,0))</f>
        <v>0.5</v>
      </c>
      <c r="L823">
        <f>INDEX(products!$A$1:$G$49,MATCH(orders!$D823,products!$A$1:$A$49,0),MATCH($L$1,products!$A$1:$G$1,0))</f>
        <v>5.3699999999999992</v>
      </c>
      <c r="M823">
        <f t="shared" si="37"/>
        <v>26.849999999999994</v>
      </c>
      <c r="N823" t="str">
        <f t="shared" si="38"/>
        <v>Robusta</v>
      </c>
      <c r="O823" t="str">
        <f t="shared" si="39"/>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_xlfn.XLOOKUP(C824,customers!$A$2:$A$1001,customers!$B$2:$B$1001,0)</f>
        <v>Lyndsey MacManus</v>
      </c>
      <c r="G824" s="2" t="str">
        <f>_xlfn.XLOOKUP(C824,customers!$A$2:$A$1001,customers!$C$2:$C$1001,0)</f>
        <v>lmacmanusmu@imdb.com</v>
      </c>
      <c r="H824" s="2" t="str">
        <f>_xlfn.XLOOKUP(orders!C824,customers!$A$2:$A$1001,customers!$G$2:$G$1001,0)</f>
        <v>United States</v>
      </c>
      <c r="I824" t="str">
        <f>INDEX(products!$A$1:$G$49,MATCH(orders!$D824,products!$A$1:$A$49,0),MATCH($I$1,products!$A$1:$G$1,0))</f>
        <v>Exc</v>
      </c>
      <c r="J824" t="str">
        <f>INDEX(products!$A$1:$G$49,MATCH(orders!$D824,products!$A$1:$A$49,0),MATCH($J$1,products!$A$1:$G$1,0))</f>
        <v>L</v>
      </c>
      <c r="K824" s="1">
        <f>INDEX(products!$A$1:$G$49,MATCH(orders!$D824,products!$A$1:$A$49,0),MATCH($K$1,products!$A$1:$G$1,0))</f>
        <v>2.5</v>
      </c>
      <c r="L824">
        <f>INDEX(products!$A$1:$G$49,MATCH(orders!$D824,products!$A$1:$A$49,0),MATCH($L$1,products!$A$1:$G$1,0))</f>
        <v>34.154999999999994</v>
      </c>
      <c r="M824">
        <f t="shared" si="37"/>
        <v>136.61999999999998</v>
      </c>
      <c r="N824" t="str">
        <f t="shared" si="38"/>
        <v>Excelsa</v>
      </c>
      <c r="O824" t="str">
        <f t="shared" si="39"/>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_xlfn.XLOOKUP(C825,customers!$A$2:$A$1001,customers!$B$2:$B$1001,0)</f>
        <v>Tess Benediktovich</v>
      </c>
      <c r="G825" s="2" t="str">
        <f>_xlfn.XLOOKUP(C825,customers!$A$2:$A$1001,customers!$C$2:$C$1001,0)</f>
        <v>tbenediktovichmv@ebay.com</v>
      </c>
      <c r="H825" s="2" t="str">
        <f>_xlfn.XLOOKUP(orders!C825,customers!$A$2:$A$1001,customers!$G$2:$G$1001,0)</f>
        <v>United States</v>
      </c>
      <c r="I825" t="str">
        <f>INDEX(products!$A$1:$G$49,MATCH(orders!$D825,products!$A$1:$A$49,0),MATCH($I$1,products!$A$1:$G$1,0))</f>
        <v>Lib</v>
      </c>
      <c r="J825" t="str">
        <f>INDEX(products!$A$1:$G$49,MATCH(orders!$D825,products!$A$1:$A$49,0),MATCH($J$1,products!$A$1:$G$1,0))</f>
        <v>L</v>
      </c>
      <c r="K825" s="1">
        <f>INDEX(products!$A$1:$G$49,MATCH(orders!$D825,products!$A$1:$A$49,0),MATCH($K$1,products!$A$1:$G$1,0))</f>
        <v>1</v>
      </c>
      <c r="L825">
        <f>INDEX(products!$A$1:$G$49,MATCH(orders!$D825,products!$A$1:$A$49,0),MATCH($L$1,products!$A$1:$G$1,0))</f>
        <v>15.85</v>
      </c>
      <c r="M825">
        <f t="shared" si="37"/>
        <v>47.55</v>
      </c>
      <c r="N825" t="str">
        <f t="shared" si="38"/>
        <v>Liberica</v>
      </c>
      <c r="O825" t="str">
        <f t="shared" si="39"/>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_xlfn.XLOOKUP(C826,customers!$A$2:$A$1001,customers!$B$2:$B$1001,0)</f>
        <v>Correy Bourner</v>
      </c>
      <c r="G826" s="2" t="str">
        <f>_xlfn.XLOOKUP(C826,customers!$A$2:$A$1001,customers!$C$2:$C$1001,0)</f>
        <v>cbournermw@chronoengine.com</v>
      </c>
      <c r="H826" s="2" t="str">
        <f>_xlfn.XLOOKUP(orders!C826,customers!$A$2:$A$1001,customers!$G$2:$G$1001,0)</f>
        <v>United States</v>
      </c>
      <c r="I826" t="str">
        <f>INDEX(products!$A$1:$G$49,MATCH(orders!$D826,products!$A$1:$A$49,0),MATCH($I$1,products!$A$1:$G$1,0))</f>
        <v>Ara</v>
      </c>
      <c r="J826" t="str">
        <f>INDEX(products!$A$1:$G$49,MATCH(orders!$D826,products!$A$1:$A$49,0),MATCH($J$1,products!$A$1:$G$1,0))</f>
        <v>M</v>
      </c>
      <c r="K826" s="1">
        <f>INDEX(products!$A$1:$G$49,MATCH(orders!$D826,products!$A$1:$A$49,0),MATCH($K$1,products!$A$1:$G$1,0))</f>
        <v>0.2</v>
      </c>
      <c r="L826">
        <f>INDEX(products!$A$1:$G$49,MATCH(orders!$D826,products!$A$1:$A$49,0),MATCH($L$1,products!$A$1:$G$1,0))</f>
        <v>3.375</v>
      </c>
      <c r="M826">
        <f t="shared" si="37"/>
        <v>16.875</v>
      </c>
      <c r="N826" t="str">
        <f t="shared" si="38"/>
        <v>Arabica</v>
      </c>
      <c r="O826" t="str">
        <f t="shared" si="39"/>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_xlfn.XLOOKUP(C827,customers!$A$2:$A$1001,customers!$B$2:$B$1001,0)</f>
        <v>Odelia Skerme</v>
      </c>
      <c r="G827" s="2" t="str">
        <f>_xlfn.XLOOKUP(C827,customers!$A$2:$A$1001,customers!$C$2:$C$1001,0)</f>
        <v>oskermen3@hatena.ne.jp</v>
      </c>
      <c r="H827" s="2" t="str">
        <f>_xlfn.XLOOKUP(orders!C827,customers!$A$2:$A$1001,customers!$G$2:$G$1001,0)</f>
        <v>United States</v>
      </c>
      <c r="I827" t="str">
        <f>INDEX(products!$A$1:$G$49,MATCH(orders!$D827,products!$A$1:$A$49,0),MATCH($I$1,products!$A$1:$G$1,0))</f>
        <v>Ara</v>
      </c>
      <c r="J827" t="str">
        <f>INDEX(products!$A$1:$G$49,MATCH(orders!$D827,products!$A$1:$A$49,0),MATCH($J$1,products!$A$1:$G$1,0))</f>
        <v>D</v>
      </c>
      <c r="K827" s="1">
        <f>INDEX(products!$A$1:$G$49,MATCH(orders!$D827,products!$A$1:$A$49,0),MATCH($K$1,products!$A$1:$G$1,0))</f>
        <v>1</v>
      </c>
      <c r="L827">
        <f>INDEX(products!$A$1:$G$49,MATCH(orders!$D827,products!$A$1:$A$49,0),MATCH($L$1,products!$A$1:$G$1,0))</f>
        <v>9.9499999999999993</v>
      </c>
      <c r="M827">
        <f t="shared" si="37"/>
        <v>29.849999999999998</v>
      </c>
      <c r="N827" t="str">
        <f t="shared" si="38"/>
        <v>Arabica</v>
      </c>
      <c r="O827" t="str">
        <f t="shared" si="39"/>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_xlfn.XLOOKUP(C828,customers!$A$2:$A$1001,customers!$B$2:$B$1001,0)</f>
        <v>Kandy Heddan</v>
      </c>
      <c r="G828" s="2" t="str">
        <f>_xlfn.XLOOKUP(C828,customers!$A$2:$A$1001,customers!$C$2:$C$1001,0)</f>
        <v>kheddanmy@icq.com</v>
      </c>
      <c r="H828" s="2" t="str">
        <f>_xlfn.XLOOKUP(orders!C828,customers!$A$2:$A$1001,customers!$G$2:$G$1001,0)</f>
        <v>United States</v>
      </c>
      <c r="I828" t="str">
        <f>INDEX(products!$A$1:$G$49,MATCH(orders!$D828,products!$A$1:$A$49,0),MATCH($I$1,products!$A$1:$G$1,0))</f>
        <v>Exc</v>
      </c>
      <c r="J828" t="str">
        <f>INDEX(products!$A$1:$G$49,MATCH(orders!$D828,products!$A$1:$A$49,0),MATCH($J$1,products!$A$1:$G$1,0))</f>
        <v>M</v>
      </c>
      <c r="K828" s="1">
        <f>INDEX(products!$A$1:$G$49,MATCH(orders!$D828,products!$A$1:$A$49,0),MATCH($K$1,products!$A$1:$G$1,0))</f>
        <v>0.5</v>
      </c>
      <c r="L828">
        <f>INDEX(products!$A$1:$G$49,MATCH(orders!$D828,products!$A$1:$A$49,0),MATCH($L$1,products!$A$1:$G$1,0))</f>
        <v>8.25</v>
      </c>
      <c r="M828">
        <f t="shared" si="37"/>
        <v>41.25</v>
      </c>
      <c r="N828" t="str">
        <f t="shared" si="38"/>
        <v>Excelsa</v>
      </c>
      <c r="O828" t="str">
        <f t="shared" si="39"/>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_xlfn.XLOOKUP(C829,customers!$A$2:$A$1001,customers!$B$2:$B$1001,0)</f>
        <v>Ibby Charters</v>
      </c>
      <c r="G829" s="2" t="str">
        <f>_xlfn.XLOOKUP(C829,customers!$A$2:$A$1001,customers!$C$2:$C$1001,0)</f>
        <v>ichartersmz@abc.net.au</v>
      </c>
      <c r="H829" s="2" t="str">
        <f>_xlfn.XLOOKUP(orders!C829,customers!$A$2:$A$1001,customers!$G$2:$G$1001,0)</f>
        <v>United States</v>
      </c>
      <c r="I829" t="str">
        <f>INDEX(products!$A$1:$G$49,MATCH(orders!$D829,products!$A$1:$A$49,0),MATCH($I$1,products!$A$1:$G$1,0))</f>
        <v>Exc</v>
      </c>
      <c r="J829" t="str">
        <f>INDEX(products!$A$1:$G$49,MATCH(orders!$D829,products!$A$1:$A$49,0),MATCH($J$1,products!$A$1:$G$1,0))</f>
        <v>M</v>
      </c>
      <c r="K829" s="1">
        <f>INDEX(products!$A$1:$G$49,MATCH(orders!$D829,products!$A$1:$A$49,0),MATCH($K$1,products!$A$1:$G$1,0))</f>
        <v>0.2</v>
      </c>
      <c r="L829">
        <f>INDEX(products!$A$1:$G$49,MATCH(orders!$D829,products!$A$1:$A$49,0),MATCH($L$1,products!$A$1:$G$1,0))</f>
        <v>4.125</v>
      </c>
      <c r="M829">
        <f t="shared" si="37"/>
        <v>20.625</v>
      </c>
      <c r="N829" t="str">
        <f t="shared" si="38"/>
        <v>Excelsa</v>
      </c>
      <c r="O829" t="str">
        <f t="shared" si="39"/>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_xlfn.XLOOKUP(C830,customers!$A$2:$A$1001,customers!$B$2:$B$1001,0)</f>
        <v>Adora Roubert</v>
      </c>
      <c r="G830" s="2" t="str">
        <f>_xlfn.XLOOKUP(C830,customers!$A$2:$A$1001,customers!$C$2:$C$1001,0)</f>
        <v>aroubertn0@tmall.com</v>
      </c>
      <c r="H830" s="2" t="str">
        <f>_xlfn.XLOOKUP(orders!C830,customers!$A$2:$A$1001,customers!$G$2:$G$1001,0)</f>
        <v>United States</v>
      </c>
      <c r="I830" t="str">
        <f>INDEX(products!$A$1:$G$49,MATCH(orders!$D830,products!$A$1:$A$49,0),MATCH($I$1,products!$A$1:$G$1,0))</f>
        <v>Ara</v>
      </c>
      <c r="J830" t="str">
        <f>INDEX(products!$A$1:$G$49,MATCH(orders!$D830,products!$A$1:$A$49,0),MATCH($J$1,products!$A$1:$G$1,0))</f>
        <v>D</v>
      </c>
      <c r="K830" s="1">
        <f>INDEX(products!$A$1:$G$49,MATCH(orders!$D830,products!$A$1:$A$49,0),MATCH($K$1,products!$A$1:$G$1,0))</f>
        <v>2.5</v>
      </c>
      <c r="L830">
        <f>INDEX(products!$A$1:$G$49,MATCH(orders!$D830,products!$A$1:$A$49,0),MATCH($L$1,products!$A$1:$G$1,0))</f>
        <v>22.884999999999998</v>
      </c>
      <c r="M830">
        <f t="shared" si="37"/>
        <v>137.31</v>
      </c>
      <c r="N830" t="str">
        <f t="shared" si="38"/>
        <v>Arabica</v>
      </c>
      <c r="O830" t="str">
        <f t="shared" si="39"/>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_xlfn.XLOOKUP(C831,customers!$A$2:$A$1001,customers!$B$2:$B$1001,0)</f>
        <v>Hillel Mairs</v>
      </c>
      <c r="G831" s="2" t="str">
        <f>_xlfn.XLOOKUP(C831,customers!$A$2:$A$1001,customers!$C$2:$C$1001,0)</f>
        <v>hmairsn1@so-net.ne.jp</v>
      </c>
      <c r="H831" s="2" t="str">
        <f>_xlfn.XLOOKUP(orders!C831,customers!$A$2:$A$1001,customers!$G$2:$G$1001,0)</f>
        <v>United States</v>
      </c>
      <c r="I831" t="str">
        <f>INDEX(products!$A$1:$G$49,MATCH(orders!$D831,products!$A$1:$A$49,0),MATCH($I$1,products!$A$1:$G$1,0))</f>
        <v>Ara</v>
      </c>
      <c r="J831" t="str">
        <f>INDEX(products!$A$1:$G$49,MATCH(orders!$D831,products!$A$1:$A$49,0),MATCH($J$1,products!$A$1:$G$1,0))</f>
        <v>D</v>
      </c>
      <c r="K831" s="1">
        <f>INDEX(products!$A$1:$G$49,MATCH(orders!$D831,products!$A$1:$A$49,0),MATCH($K$1,products!$A$1:$G$1,0))</f>
        <v>0.2</v>
      </c>
      <c r="L831">
        <f>INDEX(products!$A$1:$G$49,MATCH(orders!$D831,products!$A$1:$A$49,0),MATCH($L$1,products!$A$1:$G$1,0))</f>
        <v>2.9849999999999999</v>
      </c>
      <c r="M831">
        <f t="shared" si="37"/>
        <v>2.9849999999999999</v>
      </c>
      <c r="N831" t="str">
        <f t="shared" si="38"/>
        <v>Arabica</v>
      </c>
      <c r="O831" t="str">
        <f t="shared" si="39"/>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_xlfn.XLOOKUP(C832,customers!$A$2:$A$1001,customers!$B$2:$B$1001,0)</f>
        <v>Helaina Rainforth</v>
      </c>
      <c r="G832" s="2" t="str">
        <f>_xlfn.XLOOKUP(C832,customers!$A$2:$A$1001,customers!$C$2:$C$1001,0)</f>
        <v>hrainforthn2@blog.com</v>
      </c>
      <c r="H832" s="2" t="str">
        <f>_xlfn.XLOOKUP(orders!C832,customers!$A$2:$A$1001,customers!$G$2:$G$1001,0)</f>
        <v>United States</v>
      </c>
      <c r="I832" t="str">
        <f>INDEX(products!$A$1:$G$49,MATCH(orders!$D832,products!$A$1:$A$49,0),MATCH($I$1,products!$A$1:$G$1,0))</f>
        <v>Exc</v>
      </c>
      <c r="J832" t="str">
        <f>INDEX(products!$A$1:$G$49,MATCH(orders!$D832,products!$A$1:$A$49,0),MATCH($J$1,products!$A$1:$G$1,0))</f>
        <v>M</v>
      </c>
      <c r="K832" s="1">
        <f>INDEX(products!$A$1:$G$49,MATCH(orders!$D832,products!$A$1:$A$49,0),MATCH($K$1,products!$A$1:$G$1,0))</f>
        <v>1</v>
      </c>
      <c r="L832">
        <f>INDEX(products!$A$1:$G$49,MATCH(orders!$D832,products!$A$1:$A$49,0),MATCH($L$1,products!$A$1:$G$1,0))</f>
        <v>13.75</v>
      </c>
      <c r="M832">
        <f t="shared" si="37"/>
        <v>27.5</v>
      </c>
      <c r="N832" t="str">
        <f t="shared" si="38"/>
        <v>Excelsa</v>
      </c>
      <c r="O832" t="str">
        <f t="shared" si="39"/>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_xlfn.XLOOKUP(C833,customers!$A$2:$A$1001,customers!$B$2:$B$1001,0)</f>
        <v>Helaina Rainforth</v>
      </c>
      <c r="G833" s="2" t="str">
        <f>_xlfn.XLOOKUP(C833,customers!$A$2:$A$1001,customers!$C$2:$C$1001,0)</f>
        <v>hrainforthn2@blog.com</v>
      </c>
      <c r="H833" s="2" t="str">
        <f>_xlfn.XLOOKUP(orders!C833,customers!$A$2:$A$1001,customers!$G$2:$G$1001,0)</f>
        <v>United States</v>
      </c>
      <c r="I833" t="str">
        <f>INDEX(products!$A$1:$G$49,MATCH(orders!$D833,products!$A$1:$A$49,0),MATCH($I$1,products!$A$1:$G$1,0))</f>
        <v>Ara</v>
      </c>
      <c r="J833" t="str">
        <f>INDEX(products!$A$1:$G$49,MATCH(orders!$D833,products!$A$1:$A$49,0),MATCH($J$1,products!$A$1:$G$1,0))</f>
        <v>D</v>
      </c>
      <c r="K833" s="1">
        <f>INDEX(products!$A$1:$G$49,MATCH(orders!$D833,products!$A$1:$A$49,0),MATCH($K$1,products!$A$1:$G$1,0))</f>
        <v>0.2</v>
      </c>
      <c r="L833">
        <f>INDEX(products!$A$1:$G$49,MATCH(orders!$D833,products!$A$1:$A$49,0),MATCH($L$1,products!$A$1:$G$1,0))</f>
        <v>2.9849999999999999</v>
      </c>
      <c r="M833">
        <f t="shared" si="37"/>
        <v>5.97</v>
      </c>
      <c r="N833" t="str">
        <f t="shared" si="38"/>
        <v>Arabica</v>
      </c>
      <c r="O833" t="str">
        <f t="shared" si="39"/>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_xlfn.XLOOKUP(C834,customers!$A$2:$A$1001,customers!$B$2:$B$1001,0)</f>
        <v>Isac Jesper</v>
      </c>
      <c r="G834" s="2" t="str">
        <f>_xlfn.XLOOKUP(C834,customers!$A$2:$A$1001,customers!$C$2:$C$1001,0)</f>
        <v>ijespern4@theglobeandmail.com</v>
      </c>
      <c r="H834" s="2" t="str">
        <f>_xlfn.XLOOKUP(orders!C834,customers!$A$2:$A$1001,customers!$G$2:$G$1001,0)</f>
        <v>United States</v>
      </c>
      <c r="I834" t="str">
        <f>INDEX(products!$A$1:$G$49,MATCH(orders!$D834,products!$A$1:$A$49,0),MATCH($I$1,products!$A$1:$G$1,0))</f>
        <v>Rob</v>
      </c>
      <c r="J834" t="str">
        <f>INDEX(products!$A$1:$G$49,MATCH(orders!$D834,products!$A$1:$A$49,0),MATCH($J$1,products!$A$1:$G$1,0))</f>
        <v>M</v>
      </c>
      <c r="K834" s="1">
        <f>INDEX(products!$A$1:$G$49,MATCH(orders!$D834,products!$A$1:$A$49,0),MATCH($K$1,products!$A$1:$G$1,0))</f>
        <v>1</v>
      </c>
      <c r="L834">
        <f>INDEX(products!$A$1:$G$49,MATCH(orders!$D834,products!$A$1:$A$49,0),MATCH($L$1,products!$A$1:$G$1,0))</f>
        <v>9.9499999999999993</v>
      </c>
      <c r="M834">
        <f t="shared" si="37"/>
        <v>59.699999999999996</v>
      </c>
      <c r="N834" t="str">
        <f t="shared" si="38"/>
        <v>Robusta</v>
      </c>
      <c r="O834" t="str">
        <f t="shared" si="39"/>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_xlfn.XLOOKUP(C835,customers!$A$2:$A$1001,customers!$B$2:$B$1001,0)</f>
        <v>Lenette Dwerryhouse</v>
      </c>
      <c r="G835" s="2" t="str">
        <f>_xlfn.XLOOKUP(C835,customers!$A$2:$A$1001,customers!$C$2:$C$1001,0)</f>
        <v>ldwerryhousen5@gravatar.com</v>
      </c>
      <c r="H835" s="2" t="str">
        <f>_xlfn.XLOOKUP(orders!C835,customers!$A$2:$A$1001,customers!$G$2:$G$1001,0)</f>
        <v>United States</v>
      </c>
      <c r="I835" t="str">
        <f>INDEX(products!$A$1:$G$49,MATCH(orders!$D835,products!$A$1:$A$49,0),MATCH($I$1,products!$A$1:$G$1,0))</f>
        <v>Rob</v>
      </c>
      <c r="J835" t="str">
        <f>INDEX(products!$A$1:$G$49,MATCH(orders!$D835,products!$A$1:$A$49,0),MATCH($J$1,products!$A$1:$G$1,0))</f>
        <v>D</v>
      </c>
      <c r="K835" s="1">
        <f>INDEX(products!$A$1:$G$49,MATCH(orders!$D835,products!$A$1:$A$49,0),MATCH($K$1,products!$A$1:$G$1,0))</f>
        <v>2.5</v>
      </c>
      <c r="L835">
        <f>INDEX(products!$A$1:$G$49,MATCH(orders!$D835,products!$A$1:$A$49,0),MATCH($L$1,products!$A$1:$G$1,0))</f>
        <v>20.584999999999997</v>
      </c>
      <c r="M835">
        <f t="shared" ref="M835:M898" si="40">L835*E835</f>
        <v>82.339999999999989</v>
      </c>
      <c r="N835" t="str">
        <f t="shared" ref="N835:N898" si="41">IF(I835="Rob","Robusta",IF(I835="Exc","Excelsa",IF(I835="Ara","Arabica",IF(I835="Lib","Liberica",""))))</f>
        <v>Robusta</v>
      </c>
      <c r="O835" t="str">
        <f t="shared" ref="O835:O898" si="42">IF(J835="M", "Medium", IF(J835="L","Light", IF(J835="D", "Dark","")))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_xlfn.XLOOKUP(C836,customers!$A$2:$A$1001,customers!$B$2:$B$1001,0)</f>
        <v>Nadeen Broomer</v>
      </c>
      <c r="G836" s="2" t="str">
        <f>_xlfn.XLOOKUP(C836,customers!$A$2:$A$1001,customers!$C$2:$C$1001,0)</f>
        <v>nbroomern6@examiner.com</v>
      </c>
      <c r="H836" s="2" t="str">
        <f>_xlfn.XLOOKUP(orders!C836,customers!$A$2:$A$1001,customers!$G$2:$G$1001,0)</f>
        <v>United States</v>
      </c>
      <c r="I836" t="str">
        <f>INDEX(products!$A$1:$G$49,MATCH(orders!$D836,products!$A$1:$A$49,0),MATCH($I$1,products!$A$1:$G$1,0))</f>
        <v>Ara</v>
      </c>
      <c r="J836" t="str">
        <f>INDEX(products!$A$1:$G$49,MATCH(orders!$D836,products!$A$1:$A$49,0),MATCH($J$1,products!$A$1:$G$1,0))</f>
        <v>D</v>
      </c>
      <c r="K836" s="1">
        <f>INDEX(products!$A$1:$G$49,MATCH(orders!$D836,products!$A$1:$A$49,0),MATCH($K$1,products!$A$1:$G$1,0))</f>
        <v>2.5</v>
      </c>
      <c r="L836">
        <f>INDEX(products!$A$1:$G$49,MATCH(orders!$D836,products!$A$1:$A$49,0),MATCH($L$1,products!$A$1:$G$1,0))</f>
        <v>22.884999999999998</v>
      </c>
      <c r="M836">
        <f t="shared" si="40"/>
        <v>22.884999999999998</v>
      </c>
      <c r="N836" t="str">
        <f t="shared" si="41"/>
        <v>Arabica</v>
      </c>
      <c r="O836" t="str">
        <f t="shared" si="42"/>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_xlfn.XLOOKUP(C837,customers!$A$2:$A$1001,customers!$B$2:$B$1001,0)</f>
        <v>Konstantine Thoumasson</v>
      </c>
      <c r="G837" s="2" t="str">
        <f>_xlfn.XLOOKUP(C837,customers!$A$2:$A$1001,customers!$C$2:$C$1001,0)</f>
        <v>kthoumassonn7@bloglovin.com</v>
      </c>
      <c r="H837" s="2" t="str">
        <f>_xlfn.XLOOKUP(orders!C837,customers!$A$2:$A$1001,customers!$G$2:$G$1001,0)</f>
        <v>United States</v>
      </c>
      <c r="I837" t="str">
        <f>INDEX(products!$A$1:$G$49,MATCH(orders!$D837,products!$A$1:$A$49,0),MATCH($I$1,products!$A$1:$G$1,0))</f>
        <v>Exc</v>
      </c>
      <c r="J837" t="str">
        <f>INDEX(products!$A$1:$G$49,MATCH(orders!$D837,products!$A$1:$A$49,0),MATCH($J$1,products!$A$1:$G$1,0))</f>
        <v>L</v>
      </c>
      <c r="K837" s="1">
        <f>INDEX(products!$A$1:$G$49,MATCH(orders!$D837,products!$A$1:$A$49,0),MATCH($K$1,products!$A$1:$G$1,0))</f>
        <v>0.5</v>
      </c>
      <c r="L837">
        <f>INDEX(products!$A$1:$G$49,MATCH(orders!$D837,products!$A$1:$A$49,0),MATCH($L$1,products!$A$1:$G$1,0))</f>
        <v>8.91</v>
      </c>
      <c r="M837">
        <f t="shared" si="40"/>
        <v>8.91</v>
      </c>
      <c r="N837" t="str">
        <f t="shared" si="41"/>
        <v>Excelsa</v>
      </c>
      <c r="O837" t="str">
        <f t="shared" si="42"/>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_xlfn.XLOOKUP(C838,customers!$A$2:$A$1001,customers!$B$2:$B$1001,0)</f>
        <v>Frans Habbergham</v>
      </c>
      <c r="G838" s="2" t="str">
        <f>_xlfn.XLOOKUP(C838,customers!$A$2:$A$1001,customers!$C$2:$C$1001,0)</f>
        <v>fhabberghamn8@discovery.com</v>
      </c>
      <c r="H838" s="2" t="str">
        <f>_xlfn.XLOOKUP(orders!C838,customers!$A$2:$A$1001,customers!$G$2:$G$1001,0)</f>
        <v>United States</v>
      </c>
      <c r="I838" t="str">
        <f>INDEX(products!$A$1:$G$49,MATCH(orders!$D838,products!$A$1:$A$49,0),MATCH($I$1,products!$A$1:$G$1,0))</f>
        <v>Ara</v>
      </c>
      <c r="J838" t="str">
        <f>INDEX(products!$A$1:$G$49,MATCH(orders!$D838,products!$A$1:$A$49,0),MATCH($J$1,products!$A$1:$G$1,0))</f>
        <v>D</v>
      </c>
      <c r="K838" s="1">
        <f>INDEX(products!$A$1:$G$49,MATCH(orders!$D838,products!$A$1:$A$49,0),MATCH($K$1,products!$A$1:$G$1,0))</f>
        <v>0.2</v>
      </c>
      <c r="L838">
        <f>INDEX(products!$A$1:$G$49,MATCH(orders!$D838,products!$A$1:$A$49,0),MATCH($L$1,products!$A$1:$G$1,0))</f>
        <v>2.9849999999999999</v>
      </c>
      <c r="M838">
        <f t="shared" si="40"/>
        <v>11.94</v>
      </c>
      <c r="N838" t="str">
        <f t="shared" si="41"/>
        <v>Arabica</v>
      </c>
      <c r="O838" t="str">
        <f t="shared" si="42"/>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_xlfn.XLOOKUP(C839,customers!$A$2:$A$1001,customers!$B$2:$B$1001,0)</f>
        <v>Allis Wilmore</v>
      </c>
      <c r="G839" s="2">
        <f>_xlfn.XLOOKUP(C839,customers!$A$2:$A$1001,customers!$C$2:$C$1001,0)</f>
        <v>0</v>
      </c>
      <c r="H839" s="2" t="str">
        <f>_xlfn.XLOOKUP(orders!C839,customers!$A$2:$A$1001,customers!$G$2:$G$1001,0)</f>
        <v>United States</v>
      </c>
      <c r="I839" t="str">
        <f>INDEX(products!$A$1:$G$49,MATCH(orders!$D839,products!$A$1:$A$49,0),MATCH($I$1,products!$A$1:$G$1,0))</f>
        <v>Lib</v>
      </c>
      <c r="J839" t="str">
        <f>INDEX(products!$A$1:$G$49,MATCH(orders!$D839,products!$A$1:$A$49,0),MATCH($J$1,products!$A$1:$G$1,0))</f>
        <v>M</v>
      </c>
      <c r="K839" s="1">
        <f>INDEX(products!$A$1:$G$49,MATCH(orders!$D839,products!$A$1:$A$49,0),MATCH($K$1,products!$A$1:$G$1,0))</f>
        <v>2.5</v>
      </c>
      <c r="L839">
        <f>INDEX(products!$A$1:$G$49,MATCH(orders!$D839,products!$A$1:$A$49,0),MATCH($L$1,products!$A$1:$G$1,0))</f>
        <v>33.464999999999996</v>
      </c>
      <c r="M839">
        <f t="shared" si="40"/>
        <v>100.39499999999998</v>
      </c>
      <c r="N839" t="str">
        <f t="shared" si="41"/>
        <v>Liberica</v>
      </c>
      <c r="O839" t="str">
        <f t="shared" si="42"/>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_xlfn.XLOOKUP(C840,customers!$A$2:$A$1001,customers!$B$2:$B$1001,0)</f>
        <v>Romain Avrashin</v>
      </c>
      <c r="G840" s="2" t="str">
        <f>_xlfn.XLOOKUP(C840,customers!$A$2:$A$1001,customers!$C$2:$C$1001,0)</f>
        <v>ravrashinna@tamu.edu</v>
      </c>
      <c r="H840" s="2" t="str">
        <f>_xlfn.XLOOKUP(orders!C840,customers!$A$2:$A$1001,customers!$G$2:$G$1001,0)</f>
        <v>United States</v>
      </c>
      <c r="I840" t="str">
        <f>INDEX(products!$A$1:$G$49,MATCH(orders!$D840,products!$A$1:$A$49,0),MATCH($I$1,products!$A$1:$G$1,0))</f>
        <v>Ara</v>
      </c>
      <c r="J840" t="str">
        <f>INDEX(products!$A$1:$G$49,MATCH(orders!$D840,products!$A$1:$A$49,0),MATCH($J$1,products!$A$1:$G$1,0))</f>
        <v>D</v>
      </c>
      <c r="K840" s="1">
        <f>INDEX(products!$A$1:$G$49,MATCH(orders!$D840,products!$A$1:$A$49,0),MATCH($K$1,products!$A$1:$G$1,0))</f>
        <v>2.5</v>
      </c>
      <c r="L840">
        <f>INDEX(products!$A$1:$G$49,MATCH(orders!$D840,products!$A$1:$A$49,0),MATCH($L$1,products!$A$1:$G$1,0))</f>
        <v>22.884999999999998</v>
      </c>
      <c r="M840">
        <f t="shared" si="40"/>
        <v>114.42499999999998</v>
      </c>
      <c r="N840" t="str">
        <f t="shared" si="41"/>
        <v>Arabica</v>
      </c>
      <c r="O840" t="str">
        <f t="shared" si="42"/>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_xlfn.XLOOKUP(C841,customers!$A$2:$A$1001,customers!$B$2:$B$1001,0)</f>
        <v>Miran Doidge</v>
      </c>
      <c r="G841" s="2" t="str">
        <f>_xlfn.XLOOKUP(C841,customers!$A$2:$A$1001,customers!$C$2:$C$1001,0)</f>
        <v>mdoidgenb@etsy.com</v>
      </c>
      <c r="H841" s="2" t="str">
        <f>_xlfn.XLOOKUP(orders!C841,customers!$A$2:$A$1001,customers!$G$2:$G$1001,0)</f>
        <v>United States</v>
      </c>
      <c r="I841" t="str">
        <f>INDEX(products!$A$1:$G$49,MATCH(orders!$D841,products!$A$1:$A$49,0),MATCH($I$1,products!$A$1:$G$1,0))</f>
        <v>Exc</v>
      </c>
      <c r="J841" t="str">
        <f>INDEX(products!$A$1:$G$49,MATCH(orders!$D841,products!$A$1:$A$49,0),MATCH($J$1,products!$A$1:$G$1,0))</f>
        <v>M</v>
      </c>
      <c r="K841" s="1">
        <f>INDEX(products!$A$1:$G$49,MATCH(orders!$D841,products!$A$1:$A$49,0),MATCH($K$1,products!$A$1:$G$1,0))</f>
        <v>0.5</v>
      </c>
      <c r="L841">
        <f>INDEX(products!$A$1:$G$49,MATCH(orders!$D841,products!$A$1:$A$49,0),MATCH($L$1,products!$A$1:$G$1,0))</f>
        <v>8.25</v>
      </c>
      <c r="M841">
        <f t="shared" si="40"/>
        <v>41.25</v>
      </c>
      <c r="N841" t="str">
        <f t="shared" si="41"/>
        <v>Excelsa</v>
      </c>
      <c r="O841" t="str">
        <f t="shared" si="42"/>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_xlfn.XLOOKUP(C842,customers!$A$2:$A$1001,customers!$B$2:$B$1001,0)</f>
        <v>Janeva Edinboro</v>
      </c>
      <c r="G842" s="2" t="str">
        <f>_xlfn.XLOOKUP(C842,customers!$A$2:$A$1001,customers!$C$2:$C$1001,0)</f>
        <v>jedinboronc@reverbnation.com</v>
      </c>
      <c r="H842" s="2" t="str">
        <f>_xlfn.XLOOKUP(orders!C842,customers!$A$2:$A$1001,customers!$G$2:$G$1001,0)</f>
        <v>United States</v>
      </c>
      <c r="I842" t="str">
        <f>INDEX(products!$A$1:$G$49,MATCH(orders!$D842,products!$A$1:$A$49,0),MATCH($I$1,products!$A$1:$G$1,0))</f>
        <v>Rob</v>
      </c>
      <c r="J842" t="str">
        <f>INDEX(products!$A$1:$G$49,MATCH(orders!$D842,products!$A$1:$A$49,0),MATCH($J$1,products!$A$1:$G$1,0))</f>
        <v>L</v>
      </c>
      <c r="K842" s="1">
        <f>INDEX(products!$A$1:$G$49,MATCH(orders!$D842,products!$A$1:$A$49,0),MATCH($K$1,products!$A$1:$G$1,0))</f>
        <v>0.5</v>
      </c>
      <c r="L842">
        <f>INDEX(products!$A$1:$G$49,MATCH(orders!$D842,products!$A$1:$A$49,0),MATCH($L$1,products!$A$1:$G$1,0))</f>
        <v>7.169999999999999</v>
      </c>
      <c r="M842">
        <f t="shared" si="40"/>
        <v>28.679999999999996</v>
      </c>
      <c r="N842" t="str">
        <f t="shared" si="41"/>
        <v>Robusta</v>
      </c>
      <c r="O842" t="str">
        <f t="shared" si="42"/>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_xlfn.XLOOKUP(C843,customers!$A$2:$A$1001,customers!$B$2:$B$1001,0)</f>
        <v>Trumaine Tewelson</v>
      </c>
      <c r="G843" s="2" t="str">
        <f>_xlfn.XLOOKUP(C843,customers!$A$2:$A$1001,customers!$C$2:$C$1001,0)</f>
        <v>ttewelsonnd@cdbaby.com</v>
      </c>
      <c r="H843" s="2" t="str">
        <f>_xlfn.XLOOKUP(orders!C843,customers!$A$2:$A$1001,customers!$G$2:$G$1001,0)</f>
        <v>United States</v>
      </c>
      <c r="I843" t="str">
        <f>INDEX(products!$A$1:$G$49,MATCH(orders!$D843,products!$A$1:$A$49,0),MATCH($I$1,products!$A$1:$G$1,0))</f>
        <v>Lib</v>
      </c>
      <c r="J843" t="str">
        <f>INDEX(products!$A$1:$G$49,MATCH(orders!$D843,products!$A$1:$A$49,0),MATCH($J$1,products!$A$1:$G$1,0))</f>
        <v>M</v>
      </c>
      <c r="K843" s="1">
        <f>INDEX(products!$A$1:$G$49,MATCH(orders!$D843,products!$A$1:$A$49,0),MATCH($K$1,products!$A$1:$G$1,0))</f>
        <v>0.2</v>
      </c>
      <c r="L843">
        <f>INDEX(products!$A$1:$G$49,MATCH(orders!$D843,products!$A$1:$A$49,0),MATCH($L$1,products!$A$1:$G$1,0))</f>
        <v>4.3650000000000002</v>
      </c>
      <c r="M843">
        <f t="shared" si="40"/>
        <v>4.3650000000000002</v>
      </c>
      <c r="N843" t="str">
        <f t="shared" si="41"/>
        <v>Liberica</v>
      </c>
      <c r="O843" t="str">
        <f t="shared" si="42"/>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_xlfn.XLOOKUP(C844,customers!$A$2:$A$1001,customers!$B$2:$B$1001,0)</f>
        <v>Odelia Skerme</v>
      </c>
      <c r="G844" s="2" t="str">
        <f>_xlfn.XLOOKUP(C844,customers!$A$2:$A$1001,customers!$C$2:$C$1001,0)</f>
        <v>oskermen3@hatena.ne.jp</v>
      </c>
      <c r="H844" s="2" t="str">
        <f>_xlfn.XLOOKUP(orders!C844,customers!$A$2:$A$1001,customers!$G$2:$G$1001,0)</f>
        <v>United States</v>
      </c>
      <c r="I844" t="str">
        <f>INDEX(products!$A$1:$G$49,MATCH(orders!$D844,products!$A$1:$A$49,0),MATCH($I$1,products!$A$1:$G$1,0))</f>
        <v>Exc</v>
      </c>
      <c r="J844" t="str">
        <f>INDEX(products!$A$1:$G$49,MATCH(orders!$D844,products!$A$1:$A$49,0),MATCH($J$1,products!$A$1:$G$1,0))</f>
        <v>M</v>
      </c>
      <c r="K844" s="1">
        <f>INDEX(products!$A$1:$G$49,MATCH(orders!$D844,products!$A$1:$A$49,0),MATCH($K$1,products!$A$1:$G$1,0))</f>
        <v>0.2</v>
      </c>
      <c r="L844">
        <f>INDEX(products!$A$1:$G$49,MATCH(orders!$D844,products!$A$1:$A$49,0),MATCH($L$1,products!$A$1:$G$1,0))</f>
        <v>4.125</v>
      </c>
      <c r="M844">
        <f t="shared" si="40"/>
        <v>8.25</v>
      </c>
      <c r="N844" t="str">
        <f t="shared" si="41"/>
        <v>Excelsa</v>
      </c>
      <c r="O844" t="str">
        <f t="shared" si="42"/>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_xlfn.XLOOKUP(C845,customers!$A$2:$A$1001,customers!$B$2:$B$1001,0)</f>
        <v>De Drewitt</v>
      </c>
      <c r="G845" s="2" t="str">
        <f>_xlfn.XLOOKUP(C845,customers!$A$2:$A$1001,customers!$C$2:$C$1001,0)</f>
        <v>ddrewittnf@mapquest.com</v>
      </c>
      <c r="H845" s="2" t="str">
        <f>_xlfn.XLOOKUP(orders!C845,customers!$A$2:$A$1001,customers!$G$2:$G$1001,0)</f>
        <v>United States</v>
      </c>
      <c r="I845" t="str">
        <f>INDEX(products!$A$1:$G$49,MATCH(orders!$D845,products!$A$1:$A$49,0),MATCH($I$1,products!$A$1:$G$1,0))</f>
        <v>Exc</v>
      </c>
      <c r="J845" t="str">
        <f>INDEX(products!$A$1:$G$49,MATCH(orders!$D845,products!$A$1:$A$49,0),MATCH($J$1,products!$A$1:$G$1,0))</f>
        <v>M</v>
      </c>
      <c r="K845" s="1">
        <f>INDEX(products!$A$1:$G$49,MATCH(orders!$D845,products!$A$1:$A$49,0),MATCH($K$1,products!$A$1:$G$1,0))</f>
        <v>0.2</v>
      </c>
      <c r="L845">
        <f>INDEX(products!$A$1:$G$49,MATCH(orders!$D845,products!$A$1:$A$49,0),MATCH($L$1,products!$A$1:$G$1,0))</f>
        <v>4.125</v>
      </c>
      <c r="M845">
        <f t="shared" si="40"/>
        <v>8.25</v>
      </c>
      <c r="N845" t="str">
        <f t="shared" si="41"/>
        <v>Excelsa</v>
      </c>
      <c r="O845" t="str">
        <f t="shared" si="42"/>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_xlfn.XLOOKUP(C846,customers!$A$2:$A$1001,customers!$B$2:$B$1001,0)</f>
        <v>Adelheid Gladhill</v>
      </c>
      <c r="G846" s="2" t="str">
        <f>_xlfn.XLOOKUP(C846,customers!$A$2:$A$1001,customers!$C$2:$C$1001,0)</f>
        <v>agladhillng@stanford.edu</v>
      </c>
      <c r="H846" s="2" t="str">
        <f>_xlfn.XLOOKUP(orders!C846,customers!$A$2:$A$1001,customers!$G$2:$G$1001,0)</f>
        <v>United States</v>
      </c>
      <c r="I846" t="str">
        <f>INDEX(products!$A$1:$G$49,MATCH(orders!$D846,products!$A$1:$A$49,0),MATCH($I$1,products!$A$1:$G$1,0))</f>
        <v>Ara</v>
      </c>
      <c r="J846" t="str">
        <f>INDEX(products!$A$1:$G$49,MATCH(orders!$D846,products!$A$1:$A$49,0),MATCH($J$1,products!$A$1:$G$1,0))</f>
        <v>D</v>
      </c>
      <c r="K846" s="1">
        <f>INDEX(products!$A$1:$G$49,MATCH(orders!$D846,products!$A$1:$A$49,0),MATCH($K$1,products!$A$1:$G$1,0))</f>
        <v>0.5</v>
      </c>
      <c r="L846">
        <f>INDEX(products!$A$1:$G$49,MATCH(orders!$D846,products!$A$1:$A$49,0),MATCH($L$1,products!$A$1:$G$1,0))</f>
        <v>5.97</v>
      </c>
      <c r="M846">
        <f t="shared" si="40"/>
        <v>35.82</v>
      </c>
      <c r="N846" t="str">
        <f t="shared" si="41"/>
        <v>Arabica</v>
      </c>
      <c r="O846" t="str">
        <f t="shared" si="42"/>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_xlfn.XLOOKUP(C847,customers!$A$2:$A$1001,customers!$B$2:$B$1001,0)</f>
        <v>Murielle Lorinez</v>
      </c>
      <c r="G847" s="2" t="str">
        <f>_xlfn.XLOOKUP(C847,customers!$A$2:$A$1001,customers!$C$2:$C$1001,0)</f>
        <v>mlorineznh@whitehouse.gov</v>
      </c>
      <c r="H847" s="2" t="str">
        <f>_xlfn.XLOOKUP(orders!C847,customers!$A$2:$A$1001,customers!$G$2:$G$1001,0)</f>
        <v>United States</v>
      </c>
      <c r="I847" t="str">
        <f>INDEX(products!$A$1:$G$49,MATCH(orders!$D847,products!$A$1:$A$49,0),MATCH($I$1,products!$A$1:$G$1,0))</f>
        <v>Exc</v>
      </c>
      <c r="J847" t="str">
        <f>INDEX(products!$A$1:$G$49,MATCH(orders!$D847,products!$A$1:$A$49,0),MATCH($J$1,products!$A$1:$G$1,0))</f>
        <v>D</v>
      </c>
      <c r="K847" s="1">
        <f>INDEX(products!$A$1:$G$49,MATCH(orders!$D847,products!$A$1:$A$49,0),MATCH($K$1,products!$A$1:$G$1,0))</f>
        <v>2.5</v>
      </c>
      <c r="L847">
        <f>INDEX(products!$A$1:$G$49,MATCH(orders!$D847,products!$A$1:$A$49,0),MATCH($L$1,products!$A$1:$G$1,0))</f>
        <v>27.945</v>
      </c>
      <c r="M847">
        <f t="shared" si="40"/>
        <v>167.67000000000002</v>
      </c>
      <c r="N847" t="str">
        <f t="shared" si="41"/>
        <v>Excelsa</v>
      </c>
      <c r="O847" t="str">
        <f t="shared" si="42"/>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_xlfn.XLOOKUP(C848,customers!$A$2:$A$1001,customers!$B$2:$B$1001,0)</f>
        <v>Edin Mathe</v>
      </c>
      <c r="G848" s="2">
        <f>_xlfn.XLOOKUP(C848,customers!$A$2:$A$1001,customers!$C$2:$C$1001,0)</f>
        <v>0</v>
      </c>
      <c r="H848" s="2" t="str">
        <f>_xlfn.XLOOKUP(orders!C848,customers!$A$2:$A$1001,customers!$G$2:$G$1001,0)</f>
        <v>United States</v>
      </c>
      <c r="I848" t="str">
        <f>INDEX(products!$A$1:$G$49,MATCH(orders!$D848,products!$A$1:$A$49,0),MATCH($I$1,products!$A$1:$G$1,0))</f>
        <v>Ara</v>
      </c>
      <c r="J848" t="str">
        <f>INDEX(products!$A$1:$G$49,MATCH(orders!$D848,products!$A$1:$A$49,0),MATCH($J$1,products!$A$1:$G$1,0))</f>
        <v>M</v>
      </c>
      <c r="K848" s="1">
        <f>INDEX(products!$A$1:$G$49,MATCH(orders!$D848,products!$A$1:$A$49,0),MATCH($K$1,products!$A$1:$G$1,0))</f>
        <v>2.5</v>
      </c>
      <c r="L848">
        <f>INDEX(products!$A$1:$G$49,MATCH(orders!$D848,products!$A$1:$A$49,0),MATCH($L$1,products!$A$1:$G$1,0))</f>
        <v>25.874999999999996</v>
      </c>
      <c r="M848">
        <f t="shared" si="40"/>
        <v>51.749999999999993</v>
      </c>
      <c r="N848" t="str">
        <f t="shared" si="41"/>
        <v>Arabica</v>
      </c>
      <c r="O848" t="str">
        <f t="shared" si="42"/>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_xlfn.XLOOKUP(C849,customers!$A$2:$A$1001,customers!$B$2:$B$1001,0)</f>
        <v>Mordy Van Der Vlies</v>
      </c>
      <c r="G849" s="2" t="str">
        <f>_xlfn.XLOOKUP(C849,customers!$A$2:$A$1001,customers!$C$2:$C$1001,0)</f>
        <v>mvannj@wikipedia.org</v>
      </c>
      <c r="H849" s="2" t="str">
        <f>_xlfn.XLOOKUP(orders!C849,customers!$A$2:$A$1001,customers!$G$2:$G$1001,0)</f>
        <v>United States</v>
      </c>
      <c r="I849" t="str">
        <f>INDEX(products!$A$1:$G$49,MATCH(orders!$D849,products!$A$1:$A$49,0),MATCH($I$1,products!$A$1:$G$1,0))</f>
        <v>Ara</v>
      </c>
      <c r="J849" t="str">
        <f>INDEX(products!$A$1:$G$49,MATCH(orders!$D849,products!$A$1:$A$49,0),MATCH($J$1,products!$A$1:$G$1,0))</f>
        <v>D</v>
      </c>
      <c r="K849" s="1">
        <f>INDEX(products!$A$1:$G$49,MATCH(orders!$D849,products!$A$1:$A$49,0),MATCH($K$1,products!$A$1:$G$1,0))</f>
        <v>0.2</v>
      </c>
      <c r="L849">
        <f>INDEX(products!$A$1:$G$49,MATCH(orders!$D849,products!$A$1:$A$49,0),MATCH($L$1,products!$A$1:$G$1,0))</f>
        <v>2.9849999999999999</v>
      </c>
      <c r="M849">
        <f t="shared" si="40"/>
        <v>8.9550000000000001</v>
      </c>
      <c r="N849" t="str">
        <f t="shared" si="41"/>
        <v>Arabica</v>
      </c>
      <c r="O849" t="str">
        <f t="shared" si="42"/>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_xlfn.XLOOKUP(C850,customers!$A$2:$A$1001,customers!$B$2:$B$1001,0)</f>
        <v>Spencer Wastell</v>
      </c>
      <c r="G850" s="2">
        <f>_xlfn.XLOOKUP(C850,customers!$A$2:$A$1001,customers!$C$2:$C$1001,0)</f>
        <v>0</v>
      </c>
      <c r="H850" s="2" t="str">
        <f>_xlfn.XLOOKUP(orders!C850,customers!$A$2:$A$1001,customers!$G$2:$G$1001,0)</f>
        <v>United States</v>
      </c>
      <c r="I850" t="str">
        <f>INDEX(products!$A$1:$G$49,MATCH(orders!$D850,products!$A$1:$A$49,0),MATCH($I$1,products!$A$1:$G$1,0))</f>
        <v>Exc</v>
      </c>
      <c r="J850" t="str">
        <f>INDEX(products!$A$1:$G$49,MATCH(orders!$D850,products!$A$1:$A$49,0),MATCH($J$1,products!$A$1:$G$1,0))</f>
        <v>L</v>
      </c>
      <c r="K850" s="1">
        <f>INDEX(products!$A$1:$G$49,MATCH(orders!$D850,products!$A$1:$A$49,0),MATCH($K$1,products!$A$1:$G$1,0))</f>
        <v>0.5</v>
      </c>
      <c r="L850">
        <f>INDEX(products!$A$1:$G$49,MATCH(orders!$D850,products!$A$1:$A$49,0),MATCH($L$1,products!$A$1:$G$1,0))</f>
        <v>8.91</v>
      </c>
      <c r="M850">
        <f t="shared" si="40"/>
        <v>53.46</v>
      </c>
      <c r="N850" t="str">
        <f t="shared" si="41"/>
        <v>Excelsa</v>
      </c>
      <c r="O850" t="str">
        <f t="shared" si="42"/>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_xlfn.XLOOKUP(C851,customers!$A$2:$A$1001,customers!$B$2:$B$1001,0)</f>
        <v>Jemimah Ethelston</v>
      </c>
      <c r="G851" s="2" t="str">
        <f>_xlfn.XLOOKUP(C851,customers!$A$2:$A$1001,customers!$C$2:$C$1001,0)</f>
        <v>jethelstonnl@creativecommons.org</v>
      </c>
      <c r="H851" s="2" t="str">
        <f>_xlfn.XLOOKUP(orders!C851,customers!$A$2:$A$1001,customers!$G$2:$G$1001,0)</f>
        <v>United States</v>
      </c>
      <c r="I851" t="str">
        <f>INDEX(products!$A$1:$G$49,MATCH(orders!$D851,products!$A$1:$A$49,0),MATCH($I$1,products!$A$1:$G$1,0))</f>
        <v>Ara</v>
      </c>
      <c r="J851" t="str">
        <f>INDEX(products!$A$1:$G$49,MATCH(orders!$D851,products!$A$1:$A$49,0),MATCH($J$1,products!$A$1:$G$1,0))</f>
        <v>L</v>
      </c>
      <c r="K851" s="1">
        <f>INDEX(products!$A$1:$G$49,MATCH(orders!$D851,products!$A$1:$A$49,0),MATCH($K$1,products!$A$1:$G$1,0))</f>
        <v>0.2</v>
      </c>
      <c r="L851">
        <f>INDEX(products!$A$1:$G$49,MATCH(orders!$D851,products!$A$1:$A$49,0),MATCH($L$1,products!$A$1:$G$1,0))</f>
        <v>3.8849999999999998</v>
      </c>
      <c r="M851">
        <f t="shared" si="40"/>
        <v>23.31</v>
      </c>
      <c r="N851" t="str">
        <f t="shared" si="41"/>
        <v>Arabica</v>
      </c>
      <c r="O851" t="str">
        <f t="shared" si="42"/>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_xlfn.XLOOKUP(C852,customers!$A$2:$A$1001,customers!$B$2:$B$1001,0)</f>
        <v>Jemimah Ethelston</v>
      </c>
      <c r="G852" s="2" t="str">
        <f>_xlfn.XLOOKUP(C852,customers!$A$2:$A$1001,customers!$C$2:$C$1001,0)</f>
        <v>jethelstonnl@creativecommons.org</v>
      </c>
      <c r="H852" s="2" t="str">
        <f>_xlfn.XLOOKUP(orders!C852,customers!$A$2:$A$1001,customers!$G$2:$G$1001,0)</f>
        <v>United States</v>
      </c>
      <c r="I852" t="str">
        <f>INDEX(products!$A$1:$G$49,MATCH(orders!$D852,products!$A$1:$A$49,0),MATCH($I$1,products!$A$1:$G$1,0))</f>
        <v>Ara</v>
      </c>
      <c r="J852" t="str">
        <f>INDEX(products!$A$1:$G$49,MATCH(orders!$D852,products!$A$1:$A$49,0),MATCH($J$1,products!$A$1:$G$1,0))</f>
        <v>M</v>
      </c>
      <c r="K852" s="1">
        <f>INDEX(products!$A$1:$G$49,MATCH(orders!$D852,products!$A$1:$A$49,0),MATCH($K$1,products!$A$1:$G$1,0))</f>
        <v>0.2</v>
      </c>
      <c r="L852">
        <f>INDEX(products!$A$1:$G$49,MATCH(orders!$D852,products!$A$1:$A$49,0),MATCH($L$1,products!$A$1:$G$1,0))</f>
        <v>3.375</v>
      </c>
      <c r="M852">
        <f t="shared" si="40"/>
        <v>6.75</v>
      </c>
      <c r="N852" t="str">
        <f t="shared" si="41"/>
        <v>Arabica</v>
      </c>
      <c r="O852" t="str">
        <f t="shared" si="42"/>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_xlfn.XLOOKUP(C853,customers!$A$2:$A$1001,customers!$B$2:$B$1001,0)</f>
        <v>Perice Eberz</v>
      </c>
      <c r="G853" s="2" t="str">
        <f>_xlfn.XLOOKUP(C853,customers!$A$2:$A$1001,customers!$C$2:$C$1001,0)</f>
        <v>peberznn@woothemes.com</v>
      </c>
      <c r="H853" s="2" t="str">
        <f>_xlfn.XLOOKUP(orders!C853,customers!$A$2:$A$1001,customers!$G$2:$G$1001,0)</f>
        <v>United States</v>
      </c>
      <c r="I853" t="str">
        <f>INDEX(products!$A$1:$G$49,MATCH(orders!$D853,products!$A$1:$A$49,0),MATCH($I$1,products!$A$1:$G$1,0))</f>
        <v>Lib</v>
      </c>
      <c r="J853" t="str">
        <f>INDEX(products!$A$1:$G$49,MATCH(orders!$D853,products!$A$1:$A$49,0),MATCH($J$1,products!$A$1:$G$1,0))</f>
        <v>D</v>
      </c>
      <c r="K853" s="1">
        <f>INDEX(products!$A$1:$G$49,MATCH(orders!$D853,products!$A$1:$A$49,0),MATCH($K$1,products!$A$1:$G$1,0))</f>
        <v>0.5</v>
      </c>
      <c r="L853">
        <f>INDEX(products!$A$1:$G$49,MATCH(orders!$D853,products!$A$1:$A$49,0),MATCH($L$1,products!$A$1:$G$1,0))</f>
        <v>7.77</v>
      </c>
      <c r="M853">
        <f t="shared" si="40"/>
        <v>7.77</v>
      </c>
      <c r="N853" t="str">
        <f t="shared" si="41"/>
        <v>Liberica</v>
      </c>
      <c r="O853" t="str">
        <f t="shared" si="42"/>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_xlfn.XLOOKUP(C854,customers!$A$2:$A$1001,customers!$B$2:$B$1001,0)</f>
        <v>Bear Gaish</v>
      </c>
      <c r="G854" s="2" t="str">
        <f>_xlfn.XLOOKUP(C854,customers!$A$2:$A$1001,customers!$C$2:$C$1001,0)</f>
        <v>bgaishno@altervista.org</v>
      </c>
      <c r="H854" s="2" t="str">
        <f>_xlfn.XLOOKUP(orders!C854,customers!$A$2:$A$1001,customers!$G$2:$G$1001,0)</f>
        <v>United States</v>
      </c>
      <c r="I854" t="str">
        <f>INDEX(products!$A$1:$G$49,MATCH(orders!$D854,products!$A$1:$A$49,0),MATCH($I$1,products!$A$1:$G$1,0))</f>
        <v>Lib</v>
      </c>
      <c r="J854" t="str">
        <f>INDEX(products!$A$1:$G$49,MATCH(orders!$D854,products!$A$1:$A$49,0),MATCH($J$1,products!$A$1:$G$1,0))</f>
        <v>D</v>
      </c>
      <c r="K854" s="1">
        <f>INDEX(products!$A$1:$G$49,MATCH(orders!$D854,products!$A$1:$A$49,0),MATCH($K$1,products!$A$1:$G$1,0))</f>
        <v>2.5</v>
      </c>
      <c r="L854">
        <f>INDEX(products!$A$1:$G$49,MATCH(orders!$D854,products!$A$1:$A$49,0),MATCH($L$1,products!$A$1:$G$1,0))</f>
        <v>29.784999999999997</v>
      </c>
      <c r="M854">
        <f t="shared" si="40"/>
        <v>119.13999999999999</v>
      </c>
      <c r="N854" t="str">
        <f t="shared" si="41"/>
        <v>Liberica</v>
      </c>
      <c r="O854" t="str">
        <f t="shared" si="42"/>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_xlfn.XLOOKUP(C855,customers!$A$2:$A$1001,customers!$B$2:$B$1001,0)</f>
        <v>Lynnea Danton</v>
      </c>
      <c r="G855" s="2" t="str">
        <f>_xlfn.XLOOKUP(C855,customers!$A$2:$A$1001,customers!$C$2:$C$1001,0)</f>
        <v>ldantonnp@miitbeian.gov.cn</v>
      </c>
      <c r="H855" s="2" t="str">
        <f>_xlfn.XLOOKUP(orders!C855,customers!$A$2:$A$1001,customers!$G$2:$G$1001,0)</f>
        <v>United States</v>
      </c>
      <c r="I855" t="str">
        <f>INDEX(products!$A$1:$G$49,MATCH(orders!$D855,products!$A$1:$A$49,0),MATCH($I$1,products!$A$1:$G$1,0))</f>
        <v>Ara</v>
      </c>
      <c r="J855" t="str">
        <f>INDEX(products!$A$1:$G$49,MATCH(orders!$D855,products!$A$1:$A$49,0),MATCH($J$1,products!$A$1:$G$1,0))</f>
        <v>D</v>
      </c>
      <c r="K855" s="1">
        <f>INDEX(products!$A$1:$G$49,MATCH(orders!$D855,products!$A$1:$A$49,0),MATCH($K$1,products!$A$1:$G$1,0))</f>
        <v>1</v>
      </c>
      <c r="L855">
        <f>INDEX(products!$A$1:$G$49,MATCH(orders!$D855,products!$A$1:$A$49,0),MATCH($L$1,products!$A$1:$G$1,0))</f>
        <v>9.9499999999999993</v>
      </c>
      <c r="M855">
        <f t="shared" si="40"/>
        <v>19.899999999999999</v>
      </c>
      <c r="N855" t="str">
        <f t="shared" si="41"/>
        <v>Arabica</v>
      </c>
      <c r="O855" t="str">
        <f t="shared" si="42"/>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_xlfn.XLOOKUP(C856,customers!$A$2:$A$1001,customers!$B$2:$B$1001,0)</f>
        <v>Skipton Morrall</v>
      </c>
      <c r="G856" s="2" t="str">
        <f>_xlfn.XLOOKUP(C856,customers!$A$2:$A$1001,customers!$C$2:$C$1001,0)</f>
        <v>smorrallnq@answers.com</v>
      </c>
      <c r="H856" s="2" t="str">
        <f>_xlfn.XLOOKUP(orders!C856,customers!$A$2:$A$1001,customers!$G$2:$G$1001,0)</f>
        <v>United States</v>
      </c>
      <c r="I856" t="str">
        <f>INDEX(products!$A$1:$G$49,MATCH(orders!$D856,products!$A$1:$A$49,0),MATCH($I$1,products!$A$1:$G$1,0))</f>
        <v>Rob</v>
      </c>
      <c r="J856" t="str">
        <f>INDEX(products!$A$1:$G$49,MATCH(orders!$D856,products!$A$1:$A$49,0),MATCH($J$1,products!$A$1:$G$1,0))</f>
        <v>L</v>
      </c>
      <c r="K856" s="1">
        <f>INDEX(products!$A$1:$G$49,MATCH(orders!$D856,products!$A$1:$A$49,0),MATCH($K$1,products!$A$1:$G$1,0))</f>
        <v>0.5</v>
      </c>
      <c r="L856">
        <f>INDEX(products!$A$1:$G$49,MATCH(orders!$D856,products!$A$1:$A$49,0),MATCH($L$1,products!$A$1:$G$1,0))</f>
        <v>7.169999999999999</v>
      </c>
      <c r="M856">
        <f t="shared" si="40"/>
        <v>35.849999999999994</v>
      </c>
      <c r="N856" t="str">
        <f t="shared" si="41"/>
        <v>Robusta</v>
      </c>
      <c r="O856" t="str">
        <f t="shared" si="42"/>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_xlfn.XLOOKUP(C857,customers!$A$2:$A$1001,customers!$B$2:$B$1001,0)</f>
        <v>Devan Crownshaw</v>
      </c>
      <c r="G857" s="2" t="str">
        <f>_xlfn.XLOOKUP(C857,customers!$A$2:$A$1001,customers!$C$2:$C$1001,0)</f>
        <v>dcrownshawnr@photobucket.com</v>
      </c>
      <c r="H857" s="2" t="str">
        <f>_xlfn.XLOOKUP(orders!C857,customers!$A$2:$A$1001,customers!$G$2:$G$1001,0)</f>
        <v>United States</v>
      </c>
      <c r="I857" t="str">
        <f>INDEX(products!$A$1:$G$49,MATCH(orders!$D857,products!$A$1:$A$49,0),MATCH($I$1,products!$A$1:$G$1,0))</f>
        <v>Lib</v>
      </c>
      <c r="J857" t="str">
        <f>INDEX(products!$A$1:$G$49,MATCH(orders!$D857,products!$A$1:$A$49,0),MATCH($J$1,products!$A$1:$G$1,0))</f>
        <v>D</v>
      </c>
      <c r="K857" s="1">
        <f>INDEX(products!$A$1:$G$49,MATCH(orders!$D857,products!$A$1:$A$49,0),MATCH($K$1,products!$A$1:$G$1,0))</f>
        <v>2.5</v>
      </c>
      <c r="L857">
        <f>INDEX(products!$A$1:$G$49,MATCH(orders!$D857,products!$A$1:$A$49,0),MATCH($L$1,products!$A$1:$G$1,0))</f>
        <v>29.784999999999997</v>
      </c>
      <c r="M857">
        <f t="shared" si="40"/>
        <v>89.35499999999999</v>
      </c>
      <c r="N857" t="str">
        <f t="shared" si="41"/>
        <v>Liberica</v>
      </c>
      <c r="O857" t="str">
        <f t="shared" si="42"/>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_xlfn.XLOOKUP(C858,customers!$A$2:$A$1001,customers!$B$2:$B$1001,0)</f>
        <v>Odelia Skerme</v>
      </c>
      <c r="G858" s="2" t="str">
        <f>_xlfn.XLOOKUP(C858,customers!$A$2:$A$1001,customers!$C$2:$C$1001,0)</f>
        <v>oskermen3@hatena.ne.jp</v>
      </c>
      <c r="H858" s="2" t="str">
        <f>_xlfn.XLOOKUP(orders!C858,customers!$A$2:$A$1001,customers!$G$2:$G$1001,0)</f>
        <v>United States</v>
      </c>
      <c r="I858" t="str">
        <f>INDEX(products!$A$1:$G$49,MATCH(orders!$D858,products!$A$1:$A$49,0),MATCH($I$1,products!$A$1:$G$1,0))</f>
        <v>Lib</v>
      </c>
      <c r="J858" t="str">
        <f>INDEX(products!$A$1:$G$49,MATCH(orders!$D858,products!$A$1:$A$49,0),MATCH($J$1,products!$A$1:$G$1,0))</f>
        <v>M</v>
      </c>
      <c r="K858" s="1">
        <f>INDEX(products!$A$1:$G$49,MATCH(orders!$D858,products!$A$1:$A$49,0),MATCH($K$1,products!$A$1:$G$1,0))</f>
        <v>0.2</v>
      </c>
      <c r="L858">
        <f>INDEX(products!$A$1:$G$49,MATCH(orders!$D858,products!$A$1:$A$49,0),MATCH($L$1,products!$A$1:$G$1,0))</f>
        <v>4.3650000000000002</v>
      </c>
      <c r="M858">
        <f t="shared" si="40"/>
        <v>8.73</v>
      </c>
      <c r="N858" t="str">
        <f t="shared" si="41"/>
        <v>Liberica</v>
      </c>
      <c r="O858" t="str">
        <f t="shared" si="42"/>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_xlfn.XLOOKUP(C859,customers!$A$2:$A$1001,customers!$B$2:$B$1001,0)</f>
        <v>Joceline Reddoch</v>
      </c>
      <c r="G859" s="2" t="str">
        <f>_xlfn.XLOOKUP(C859,customers!$A$2:$A$1001,customers!$C$2:$C$1001,0)</f>
        <v>jreddochnt@sun.com</v>
      </c>
      <c r="H859" s="2" t="str">
        <f>_xlfn.XLOOKUP(orders!C859,customers!$A$2:$A$1001,customers!$G$2:$G$1001,0)</f>
        <v>United States</v>
      </c>
      <c r="I859" t="str">
        <f>INDEX(products!$A$1:$G$49,MATCH(orders!$D859,products!$A$1:$A$49,0),MATCH($I$1,products!$A$1:$G$1,0))</f>
        <v>Rob</v>
      </c>
      <c r="J859" t="str">
        <f>INDEX(products!$A$1:$G$49,MATCH(orders!$D859,products!$A$1:$A$49,0),MATCH($J$1,products!$A$1:$G$1,0))</f>
        <v>L</v>
      </c>
      <c r="K859" s="1">
        <f>INDEX(products!$A$1:$G$49,MATCH(orders!$D859,products!$A$1:$A$49,0),MATCH($K$1,products!$A$1:$G$1,0))</f>
        <v>2.5</v>
      </c>
      <c r="L859">
        <f>INDEX(products!$A$1:$G$49,MATCH(orders!$D859,products!$A$1:$A$49,0),MATCH($L$1,products!$A$1:$G$1,0))</f>
        <v>27.484999999999996</v>
      </c>
      <c r="M859">
        <f t="shared" si="40"/>
        <v>137.42499999999998</v>
      </c>
      <c r="N859" t="str">
        <f t="shared" si="41"/>
        <v>Robusta</v>
      </c>
      <c r="O859" t="str">
        <f t="shared" si="42"/>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_xlfn.XLOOKUP(C860,customers!$A$2:$A$1001,customers!$B$2:$B$1001,0)</f>
        <v>Shelley Titley</v>
      </c>
      <c r="G860" s="2" t="str">
        <f>_xlfn.XLOOKUP(C860,customers!$A$2:$A$1001,customers!$C$2:$C$1001,0)</f>
        <v>stitleynu@whitehouse.gov</v>
      </c>
      <c r="H860" s="2" t="str">
        <f>_xlfn.XLOOKUP(orders!C860,customers!$A$2:$A$1001,customers!$G$2:$G$1001,0)</f>
        <v>United States</v>
      </c>
      <c r="I860" t="str">
        <f>INDEX(products!$A$1:$G$49,MATCH(orders!$D860,products!$A$1:$A$49,0),MATCH($I$1,products!$A$1:$G$1,0))</f>
        <v>Lib</v>
      </c>
      <c r="J860" t="str">
        <f>INDEX(products!$A$1:$G$49,MATCH(orders!$D860,products!$A$1:$A$49,0),MATCH($J$1,products!$A$1:$G$1,0))</f>
        <v>M</v>
      </c>
      <c r="K860" s="1">
        <f>INDEX(products!$A$1:$G$49,MATCH(orders!$D860,products!$A$1:$A$49,0),MATCH($K$1,products!$A$1:$G$1,0))</f>
        <v>0.5</v>
      </c>
      <c r="L860">
        <f>INDEX(products!$A$1:$G$49,MATCH(orders!$D860,products!$A$1:$A$49,0),MATCH($L$1,products!$A$1:$G$1,0))</f>
        <v>8.73</v>
      </c>
      <c r="M860">
        <f t="shared" si="40"/>
        <v>34.92</v>
      </c>
      <c r="N860" t="str">
        <f t="shared" si="41"/>
        <v>Liberica</v>
      </c>
      <c r="O860" t="str">
        <f t="shared" si="42"/>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_xlfn.XLOOKUP(C861,customers!$A$2:$A$1001,customers!$B$2:$B$1001,0)</f>
        <v>Redd Simao</v>
      </c>
      <c r="G861" s="2" t="str">
        <f>_xlfn.XLOOKUP(C861,customers!$A$2:$A$1001,customers!$C$2:$C$1001,0)</f>
        <v>rsimaonv@simplemachines.org</v>
      </c>
      <c r="H861" s="2" t="str">
        <f>_xlfn.XLOOKUP(orders!C861,customers!$A$2:$A$1001,customers!$G$2:$G$1001,0)</f>
        <v>United States</v>
      </c>
      <c r="I861" t="str">
        <f>INDEX(products!$A$1:$G$49,MATCH(orders!$D861,products!$A$1:$A$49,0),MATCH($I$1,products!$A$1:$G$1,0))</f>
        <v>Ara</v>
      </c>
      <c r="J861" t="str">
        <f>INDEX(products!$A$1:$G$49,MATCH(orders!$D861,products!$A$1:$A$49,0),MATCH($J$1,products!$A$1:$G$1,0))</f>
        <v>L</v>
      </c>
      <c r="K861" s="1">
        <f>INDEX(products!$A$1:$G$49,MATCH(orders!$D861,products!$A$1:$A$49,0),MATCH($K$1,products!$A$1:$G$1,0))</f>
        <v>2.5</v>
      </c>
      <c r="L861">
        <f>INDEX(products!$A$1:$G$49,MATCH(orders!$D861,products!$A$1:$A$49,0),MATCH($L$1,products!$A$1:$G$1,0))</f>
        <v>29.784999999999997</v>
      </c>
      <c r="M861">
        <f t="shared" si="40"/>
        <v>178.70999999999998</v>
      </c>
      <c r="N861" t="str">
        <f t="shared" si="41"/>
        <v>Arabica</v>
      </c>
      <c r="O861" t="str">
        <f t="shared" si="42"/>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_xlfn.XLOOKUP(C862,customers!$A$2:$A$1001,customers!$B$2:$B$1001,0)</f>
        <v>Cece Inker</v>
      </c>
      <c r="G862" s="2">
        <f>_xlfn.XLOOKUP(C862,customers!$A$2:$A$1001,customers!$C$2:$C$1001,0)</f>
        <v>0</v>
      </c>
      <c r="H862" s="2" t="str">
        <f>_xlfn.XLOOKUP(orders!C862,customers!$A$2:$A$1001,customers!$G$2:$G$1001,0)</f>
        <v>United States</v>
      </c>
      <c r="I862" t="str">
        <f>INDEX(products!$A$1:$G$49,MATCH(orders!$D862,products!$A$1:$A$49,0),MATCH($I$1,products!$A$1:$G$1,0))</f>
        <v>Ara</v>
      </c>
      <c r="J862" t="str">
        <f>INDEX(products!$A$1:$G$49,MATCH(orders!$D862,products!$A$1:$A$49,0),MATCH($J$1,products!$A$1:$G$1,0))</f>
        <v>M</v>
      </c>
      <c r="K862" s="1">
        <f>INDEX(products!$A$1:$G$49,MATCH(orders!$D862,products!$A$1:$A$49,0),MATCH($K$1,products!$A$1:$G$1,0))</f>
        <v>2.5</v>
      </c>
      <c r="L862">
        <f>INDEX(products!$A$1:$G$49,MATCH(orders!$D862,products!$A$1:$A$49,0),MATCH($L$1,products!$A$1:$G$1,0))</f>
        <v>25.874999999999996</v>
      </c>
      <c r="M862">
        <f t="shared" si="40"/>
        <v>25.874999999999996</v>
      </c>
      <c r="N862" t="str">
        <f t="shared" si="41"/>
        <v>Arabica</v>
      </c>
      <c r="O862" t="str">
        <f t="shared" si="42"/>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_xlfn.XLOOKUP(C863,customers!$A$2:$A$1001,customers!$B$2:$B$1001,0)</f>
        <v>Noel Chisholm</v>
      </c>
      <c r="G863" s="2" t="str">
        <f>_xlfn.XLOOKUP(C863,customers!$A$2:$A$1001,customers!$C$2:$C$1001,0)</f>
        <v>nchisholmnx@example.com</v>
      </c>
      <c r="H863" s="2" t="str">
        <f>_xlfn.XLOOKUP(orders!C863,customers!$A$2:$A$1001,customers!$G$2:$G$1001,0)</f>
        <v>United States</v>
      </c>
      <c r="I863" t="str">
        <f>INDEX(products!$A$1:$G$49,MATCH(orders!$D863,products!$A$1:$A$49,0),MATCH($I$1,products!$A$1:$G$1,0))</f>
        <v>Lib</v>
      </c>
      <c r="J863" t="str">
        <f>INDEX(products!$A$1:$G$49,MATCH(orders!$D863,products!$A$1:$A$49,0),MATCH($J$1,products!$A$1:$G$1,0))</f>
        <v>D</v>
      </c>
      <c r="K863" s="1">
        <f>INDEX(products!$A$1:$G$49,MATCH(orders!$D863,products!$A$1:$A$49,0),MATCH($K$1,products!$A$1:$G$1,0))</f>
        <v>1</v>
      </c>
      <c r="L863">
        <f>INDEX(products!$A$1:$G$49,MATCH(orders!$D863,products!$A$1:$A$49,0),MATCH($L$1,products!$A$1:$G$1,0))</f>
        <v>12.95</v>
      </c>
      <c r="M863">
        <f t="shared" si="40"/>
        <v>77.699999999999989</v>
      </c>
      <c r="N863" t="str">
        <f t="shared" si="41"/>
        <v>Liberica</v>
      </c>
      <c r="O863" t="str">
        <f t="shared" si="42"/>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_xlfn.XLOOKUP(C864,customers!$A$2:$A$1001,customers!$B$2:$B$1001,0)</f>
        <v>Grazia Oats</v>
      </c>
      <c r="G864" s="2" t="str">
        <f>_xlfn.XLOOKUP(C864,customers!$A$2:$A$1001,customers!$C$2:$C$1001,0)</f>
        <v>goatsny@live.com</v>
      </c>
      <c r="H864" s="2" t="str">
        <f>_xlfn.XLOOKUP(orders!C864,customers!$A$2:$A$1001,customers!$G$2:$G$1001,0)</f>
        <v>United States</v>
      </c>
      <c r="I864" t="str">
        <f>INDEX(products!$A$1:$G$49,MATCH(orders!$D864,products!$A$1:$A$49,0),MATCH($I$1,products!$A$1:$G$1,0))</f>
        <v>Rob</v>
      </c>
      <c r="J864" t="str">
        <f>INDEX(products!$A$1:$G$49,MATCH(orders!$D864,products!$A$1:$A$49,0),MATCH($J$1,products!$A$1:$G$1,0))</f>
        <v>M</v>
      </c>
      <c r="K864" s="1">
        <f>INDEX(products!$A$1:$G$49,MATCH(orders!$D864,products!$A$1:$A$49,0),MATCH($K$1,products!$A$1:$G$1,0))</f>
        <v>1</v>
      </c>
      <c r="L864">
        <f>INDEX(products!$A$1:$G$49,MATCH(orders!$D864,products!$A$1:$A$49,0),MATCH($L$1,products!$A$1:$G$1,0))</f>
        <v>9.9499999999999993</v>
      </c>
      <c r="M864">
        <f t="shared" si="40"/>
        <v>9.9499999999999993</v>
      </c>
      <c r="N864" t="str">
        <f t="shared" si="41"/>
        <v>Robusta</v>
      </c>
      <c r="O864" t="str">
        <f t="shared" si="42"/>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_xlfn.XLOOKUP(C865,customers!$A$2:$A$1001,customers!$B$2:$B$1001,0)</f>
        <v>Meade Birkin</v>
      </c>
      <c r="G865" s="2" t="str">
        <f>_xlfn.XLOOKUP(C865,customers!$A$2:$A$1001,customers!$C$2:$C$1001,0)</f>
        <v>mbirkinnz@java.com</v>
      </c>
      <c r="H865" s="2" t="str">
        <f>_xlfn.XLOOKUP(orders!C865,customers!$A$2:$A$1001,customers!$G$2:$G$1001,0)</f>
        <v>United States</v>
      </c>
      <c r="I865" t="str">
        <f>INDEX(products!$A$1:$G$49,MATCH(orders!$D865,products!$A$1:$A$49,0),MATCH($I$1,products!$A$1:$G$1,0))</f>
        <v>Lib</v>
      </c>
      <c r="J865" t="str">
        <f>INDEX(products!$A$1:$G$49,MATCH(orders!$D865,products!$A$1:$A$49,0),MATCH($J$1,products!$A$1:$G$1,0))</f>
        <v>M</v>
      </c>
      <c r="K865" s="1">
        <f>INDEX(products!$A$1:$G$49,MATCH(orders!$D865,products!$A$1:$A$49,0),MATCH($K$1,products!$A$1:$G$1,0))</f>
        <v>1</v>
      </c>
      <c r="L865">
        <f>INDEX(products!$A$1:$G$49,MATCH(orders!$D865,products!$A$1:$A$49,0),MATCH($L$1,products!$A$1:$G$1,0))</f>
        <v>14.55</v>
      </c>
      <c r="M865">
        <f t="shared" si="40"/>
        <v>29.1</v>
      </c>
      <c r="N865" t="str">
        <f t="shared" si="41"/>
        <v>Liberica</v>
      </c>
      <c r="O865" t="str">
        <f t="shared" si="42"/>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_xlfn.XLOOKUP(C866,customers!$A$2:$A$1001,customers!$B$2:$B$1001,0)</f>
        <v>Ronda Pyson</v>
      </c>
      <c r="G866" s="2" t="str">
        <f>_xlfn.XLOOKUP(C866,customers!$A$2:$A$1001,customers!$C$2:$C$1001,0)</f>
        <v>rpysono0@constantcontact.com</v>
      </c>
      <c r="H866" s="2" t="str">
        <f>_xlfn.XLOOKUP(orders!C866,customers!$A$2:$A$1001,customers!$G$2:$G$1001,0)</f>
        <v>Ireland</v>
      </c>
      <c r="I866" t="str">
        <f>INDEX(products!$A$1:$G$49,MATCH(orders!$D866,products!$A$1:$A$49,0),MATCH($I$1,products!$A$1:$G$1,0))</f>
        <v>Rob</v>
      </c>
      <c r="J866" t="str">
        <f>INDEX(products!$A$1:$G$49,MATCH(orders!$D866,products!$A$1:$A$49,0),MATCH($J$1,products!$A$1:$G$1,0))</f>
        <v>L</v>
      </c>
      <c r="K866" s="1">
        <f>INDEX(products!$A$1:$G$49,MATCH(orders!$D866,products!$A$1:$A$49,0),MATCH($K$1,products!$A$1:$G$1,0))</f>
        <v>0.2</v>
      </c>
      <c r="L866">
        <f>INDEX(products!$A$1:$G$49,MATCH(orders!$D866,products!$A$1:$A$49,0),MATCH($L$1,products!$A$1:$G$1,0))</f>
        <v>3.5849999999999995</v>
      </c>
      <c r="M866">
        <f t="shared" si="40"/>
        <v>21.509999999999998</v>
      </c>
      <c r="N866" t="str">
        <f t="shared" si="41"/>
        <v>Robusta</v>
      </c>
      <c r="O866" t="str">
        <f t="shared" si="42"/>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_xlfn.XLOOKUP(C867,customers!$A$2:$A$1001,customers!$B$2:$B$1001,0)</f>
        <v>Modesty MacConnechie</v>
      </c>
      <c r="G867" s="2" t="str">
        <f>_xlfn.XLOOKUP(C867,customers!$A$2:$A$1001,customers!$C$2:$C$1001,0)</f>
        <v>mmacconnechieo9@reuters.com</v>
      </c>
      <c r="H867" s="2" t="str">
        <f>_xlfn.XLOOKUP(orders!C867,customers!$A$2:$A$1001,customers!$G$2:$G$1001,0)</f>
        <v>United States</v>
      </c>
      <c r="I867" t="str">
        <f>INDEX(products!$A$1:$G$49,MATCH(orders!$D867,products!$A$1:$A$49,0),MATCH($I$1,products!$A$1:$G$1,0))</f>
        <v>Ara</v>
      </c>
      <c r="J867" t="str">
        <f>INDEX(products!$A$1:$G$49,MATCH(orders!$D867,products!$A$1:$A$49,0),MATCH($J$1,products!$A$1:$G$1,0))</f>
        <v>M</v>
      </c>
      <c r="K867" s="1">
        <f>INDEX(products!$A$1:$G$49,MATCH(orders!$D867,products!$A$1:$A$49,0),MATCH($K$1,products!$A$1:$G$1,0))</f>
        <v>0.5</v>
      </c>
      <c r="L867">
        <f>INDEX(products!$A$1:$G$49,MATCH(orders!$D867,products!$A$1:$A$49,0),MATCH($L$1,products!$A$1:$G$1,0))</f>
        <v>6.75</v>
      </c>
      <c r="M867">
        <f t="shared" si="40"/>
        <v>6.75</v>
      </c>
      <c r="N867" t="str">
        <f t="shared" si="41"/>
        <v>Arabica</v>
      </c>
      <c r="O867" t="str">
        <f t="shared" si="42"/>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_xlfn.XLOOKUP(C868,customers!$A$2:$A$1001,customers!$B$2:$B$1001,0)</f>
        <v>Rafaela Treacher</v>
      </c>
      <c r="G868" s="2" t="str">
        <f>_xlfn.XLOOKUP(C868,customers!$A$2:$A$1001,customers!$C$2:$C$1001,0)</f>
        <v>rtreachero2@usa.gov</v>
      </c>
      <c r="H868" s="2" t="str">
        <f>_xlfn.XLOOKUP(orders!C868,customers!$A$2:$A$1001,customers!$G$2:$G$1001,0)</f>
        <v>Ireland</v>
      </c>
      <c r="I868" t="str">
        <f>INDEX(products!$A$1:$G$49,MATCH(orders!$D868,products!$A$1:$A$49,0),MATCH($I$1,products!$A$1:$G$1,0))</f>
        <v>Ara</v>
      </c>
      <c r="J868" t="str">
        <f>INDEX(products!$A$1:$G$49,MATCH(orders!$D868,products!$A$1:$A$49,0),MATCH($J$1,products!$A$1:$G$1,0))</f>
        <v>D</v>
      </c>
      <c r="K868" s="1">
        <f>INDEX(products!$A$1:$G$49,MATCH(orders!$D868,products!$A$1:$A$49,0),MATCH($K$1,products!$A$1:$G$1,0))</f>
        <v>0.5</v>
      </c>
      <c r="L868">
        <f>INDEX(products!$A$1:$G$49,MATCH(orders!$D868,products!$A$1:$A$49,0),MATCH($L$1,products!$A$1:$G$1,0))</f>
        <v>5.97</v>
      </c>
      <c r="M868">
        <f t="shared" si="40"/>
        <v>17.91</v>
      </c>
      <c r="N868" t="str">
        <f t="shared" si="41"/>
        <v>Arabica</v>
      </c>
      <c r="O868" t="str">
        <f t="shared" si="42"/>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_xlfn.XLOOKUP(C869,customers!$A$2:$A$1001,customers!$B$2:$B$1001,0)</f>
        <v>Bee Fattorini</v>
      </c>
      <c r="G869" s="2" t="str">
        <f>_xlfn.XLOOKUP(C869,customers!$A$2:$A$1001,customers!$C$2:$C$1001,0)</f>
        <v>bfattorinio3@quantcast.com</v>
      </c>
      <c r="H869" s="2" t="str">
        <f>_xlfn.XLOOKUP(orders!C869,customers!$A$2:$A$1001,customers!$G$2:$G$1001,0)</f>
        <v>Ireland</v>
      </c>
      <c r="I869" t="str">
        <f>INDEX(products!$A$1:$G$49,MATCH(orders!$D869,products!$A$1:$A$49,0),MATCH($I$1,products!$A$1:$G$1,0))</f>
        <v>Ara</v>
      </c>
      <c r="J869" t="str">
        <f>INDEX(products!$A$1:$G$49,MATCH(orders!$D869,products!$A$1:$A$49,0),MATCH($J$1,products!$A$1:$G$1,0))</f>
        <v>L</v>
      </c>
      <c r="K869" s="1">
        <f>INDEX(products!$A$1:$G$49,MATCH(orders!$D869,products!$A$1:$A$49,0),MATCH($K$1,products!$A$1:$G$1,0))</f>
        <v>2.5</v>
      </c>
      <c r="L869">
        <f>INDEX(products!$A$1:$G$49,MATCH(orders!$D869,products!$A$1:$A$49,0),MATCH($L$1,products!$A$1:$G$1,0))</f>
        <v>29.784999999999997</v>
      </c>
      <c r="M869">
        <f t="shared" si="40"/>
        <v>29.784999999999997</v>
      </c>
      <c r="N869" t="str">
        <f t="shared" si="41"/>
        <v>Arabica</v>
      </c>
      <c r="O869" t="str">
        <f t="shared" si="42"/>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_xlfn.XLOOKUP(C870,customers!$A$2:$A$1001,customers!$B$2:$B$1001,0)</f>
        <v>Margie Palleske</v>
      </c>
      <c r="G870" s="2" t="str">
        <f>_xlfn.XLOOKUP(C870,customers!$A$2:$A$1001,customers!$C$2:$C$1001,0)</f>
        <v>mpalleskeo4@nyu.edu</v>
      </c>
      <c r="H870" s="2" t="str">
        <f>_xlfn.XLOOKUP(orders!C870,customers!$A$2:$A$1001,customers!$G$2:$G$1001,0)</f>
        <v>United States</v>
      </c>
      <c r="I870" t="str">
        <f>INDEX(products!$A$1:$G$49,MATCH(orders!$D870,products!$A$1:$A$49,0),MATCH($I$1,products!$A$1:$G$1,0))</f>
        <v>Exc</v>
      </c>
      <c r="J870" t="str">
        <f>INDEX(products!$A$1:$G$49,MATCH(orders!$D870,products!$A$1:$A$49,0),MATCH($J$1,products!$A$1:$G$1,0))</f>
        <v>M</v>
      </c>
      <c r="K870" s="1">
        <f>INDEX(products!$A$1:$G$49,MATCH(orders!$D870,products!$A$1:$A$49,0),MATCH($K$1,products!$A$1:$G$1,0))</f>
        <v>0.5</v>
      </c>
      <c r="L870">
        <f>INDEX(products!$A$1:$G$49,MATCH(orders!$D870,products!$A$1:$A$49,0),MATCH($L$1,products!$A$1:$G$1,0))</f>
        <v>8.25</v>
      </c>
      <c r="M870">
        <f t="shared" si="40"/>
        <v>41.25</v>
      </c>
      <c r="N870" t="str">
        <f t="shared" si="41"/>
        <v>Excelsa</v>
      </c>
      <c r="O870" t="str">
        <f t="shared" si="42"/>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_xlfn.XLOOKUP(C871,customers!$A$2:$A$1001,customers!$B$2:$B$1001,0)</f>
        <v>Alexina Randals</v>
      </c>
      <c r="G871" s="2">
        <f>_xlfn.XLOOKUP(C871,customers!$A$2:$A$1001,customers!$C$2:$C$1001,0)</f>
        <v>0</v>
      </c>
      <c r="H871" s="2" t="str">
        <f>_xlfn.XLOOKUP(orders!C871,customers!$A$2:$A$1001,customers!$G$2:$G$1001,0)</f>
        <v>United States</v>
      </c>
      <c r="I871" t="str">
        <f>INDEX(products!$A$1:$G$49,MATCH(orders!$D871,products!$A$1:$A$49,0),MATCH($I$1,products!$A$1:$G$1,0))</f>
        <v>Rob</v>
      </c>
      <c r="J871" t="str">
        <f>INDEX(products!$A$1:$G$49,MATCH(orders!$D871,products!$A$1:$A$49,0),MATCH($J$1,products!$A$1:$G$1,0))</f>
        <v>M</v>
      </c>
      <c r="K871" s="1">
        <f>INDEX(products!$A$1:$G$49,MATCH(orders!$D871,products!$A$1:$A$49,0),MATCH($K$1,products!$A$1:$G$1,0))</f>
        <v>0.5</v>
      </c>
      <c r="L871">
        <f>INDEX(products!$A$1:$G$49,MATCH(orders!$D871,products!$A$1:$A$49,0),MATCH($L$1,products!$A$1:$G$1,0))</f>
        <v>5.97</v>
      </c>
      <c r="M871">
        <f t="shared" si="40"/>
        <v>17.91</v>
      </c>
      <c r="N871" t="str">
        <f t="shared" si="41"/>
        <v>Robusta</v>
      </c>
      <c r="O871" t="str">
        <f t="shared" si="42"/>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_xlfn.XLOOKUP(C872,customers!$A$2:$A$1001,customers!$B$2:$B$1001,0)</f>
        <v>Filip Antcliffe</v>
      </c>
      <c r="G872" s="2" t="str">
        <f>_xlfn.XLOOKUP(C872,customers!$A$2:$A$1001,customers!$C$2:$C$1001,0)</f>
        <v>fantcliffeo6@amazon.co.jp</v>
      </c>
      <c r="H872" s="2" t="str">
        <f>_xlfn.XLOOKUP(orders!C872,customers!$A$2:$A$1001,customers!$G$2:$G$1001,0)</f>
        <v>Ireland</v>
      </c>
      <c r="I872" t="str">
        <f>INDEX(products!$A$1:$G$49,MATCH(orders!$D872,products!$A$1:$A$49,0),MATCH($I$1,products!$A$1:$G$1,0))</f>
        <v>Exc</v>
      </c>
      <c r="J872" t="str">
        <f>INDEX(products!$A$1:$G$49,MATCH(orders!$D872,products!$A$1:$A$49,0),MATCH($J$1,products!$A$1:$G$1,0))</f>
        <v>D</v>
      </c>
      <c r="K872" s="1">
        <f>INDEX(products!$A$1:$G$49,MATCH(orders!$D872,products!$A$1:$A$49,0),MATCH($K$1,products!$A$1:$G$1,0))</f>
        <v>0.5</v>
      </c>
      <c r="L872">
        <f>INDEX(products!$A$1:$G$49,MATCH(orders!$D872,products!$A$1:$A$49,0),MATCH($L$1,products!$A$1:$G$1,0))</f>
        <v>7.29</v>
      </c>
      <c r="M872">
        <f t="shared" si="40"/>
        <v>7.29</v>
      </c>
      <c r="N872" t="str">
        <f t="shared" si="41"/>
        <v>Excelsa</v>
      </c>
      <c r="O872" t="str">
        <f t="shared" si="42"/>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_xlfn.XLOOKUP(C873,customers!$A$2:$A$1001,customers!$B$2:$B$1001,0)</f>
        <v>Peyter Matignon</v>
      </c>
      <c r="G873" s="2" t="str">
        <f>_xlfn.XLOOKUP(C873,customers!$A$2:$A$1001,customers!$C$2:$C$1001,0)</f>
        <v>pmatignono7@harvard.edu</v>
      </c>
      <c r="H873" s="2" t="str">
        <f>_xlfn.XLOOKUP(orders!C873,customers!$A$2:$A$1001,customers!$G$2:$G$1001,0)</f>
        <v>United Kingdom</v>
      </c>
      <c r="I873" t="str">
        <f>INDEX(products!$A$1:$G$49,MATCH(orders!$D873,products!$A$1:$A$49,0),MATCH($I$1,products!$A$1:$G$1,0))</f>
        <v>Exc</v>
      </c>
      <c r="J873" t="str">
        <f>INDEX(products!$A$1:$G$49,MATCH(orders!$D873,products!$A$1:$A$49,0),MATCH($J$1,products!$A$1:$G$1,0))</f>
        <v>L</v>
      </c>
      <c r="K873" s="1">
        <f>INDEX(products!$A$1:$G$49,MATCH(orders!$D873,products!$A$1:$A$49,0),MATCH($K$1,products!$A$1:$G$1,0))</f>
        <v>1</v>
      </c>
      <c r="L873">
        <f>INDEX(products!$A$1:$G$49,MATCH(orders!$D873,products!$A$1:$A$49,0),MATCH($L$1,products!$A$1:$G$1,0))</f>
        <v>14.85</v>
      </c>
      <c r="M873">
        <f t="shared" si="40"/>
        <v>29.7</v>
      </c>
      <c r="N873" t="str">
        <f t="shared" si="41"/>
        <v>Excelsa</v>
      </c>
      <c r="O873" t="str">
        <f t="shared" si="42"/>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_xlfn.XLOOKUP(C874,customers!$A$2:$A$1001,customers!$B$2:$B$1001,0)</f>
        <v>Claudie Weond</v>
      </c>
      <c r="G874" s="2" t="str">
        <f>_xlfn.XLOOKUP(C874,customers!$A$2:$A$1001,customers!$C$2:$C$1001,0)</f>
        <v>cweondo8@theglobeandmail.com</v>
      </c>
      <c r="H874" s="2" t="str">
        <f>_xlfn.XLOOKUP(orders!C874,customers!$A$2:$A$1001,customers!$G$2:$G$1001,0)</f>
        <v>United States</v>
      </c>
      <c r="I874" t="str">
        <f>INDEX(products!$A$1:$G$49,MATCH(orders!$D874,products!$A$1:$A$49,0),MATCH($I$1,products!$A$1:$G$1,0))</f>
        <v>Ara</v>
      </c>
      <c r="J874" t="str">
        <f>INDEX(products!$A$1:$G$49,MATCH(orders!$D874,products!$A$1:$A$49,0),MATCH($J$1,products!$A$1:$G$1,0))</f>
        <v>M</v>
      </c>
      <c r="K874" s="1">
        <f>INDEX(products!$A$1:$G$49,MATCH(orders!$D874,products!$A$1:$A$49,0),MATCH($K$1,products!$A$1:$G$1,0))</f>
        <v>1</v>
      </c>
      <c r="L874">
        <f>INDEX(products!$A$1:$G$49,MATCH(orders!$D874,products!$A$1:$A$49,0),MATCH($L$1,products!$A$1:$G$1,0))</f>
        <v>11.25</v>
      </c>
      <c r="M874">
        <f t="shared" si="40"/>
        <v>22.5</v>
      </c>
      <c r="N874" t="str">
        <f t="shared" si="41"/>
        <v>Arabica</v>
      </c>
      <c r="O874" t="str">
        <f t="shared" si="42"/>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_xlfn.XLOOKUP(C875,customers!$A$2:$A$1001,customers!$B$2:$B$1001,0)</f>
        <v>Modesty MacConnechie</v>
      </c>
      <c r="G875" s="2" t="str">
        <f>_xlfn.XLOOKUP(C875,customers!$A$2:$A$1001,customers!$C$2:$C$1001,0)</f>
        <v>mmacconnechieo9@reuters.com</v>
      </c>
      <c r="H875" s="2" t="str">
        <f>_xlfn.XLOOKUP(orders!C875,customers!$A$2:$A$1001,customers!$G$2:$G$1001,0)</f>
        <v>United States</v>
      </c>
      <c r="I875" t="str">
        <f>INDEX(products!$A$1:$G$49,MATCH(orders!$D875,products!$A$1:$A$49,0),MATCH($I$1,products!$A$1:$G$1,0))</f>
        <v>Rob</v>
      </c>
      <c r="J875" t="str">
        <f>INDEX(products!$A$1:$G$49,MATCH(orders!$D875,products!$A$1:$A$49,0),MATCH($J$1,products!$A$1:$G$1,0))</f>
        <v>M</v>
      </c>
      <c r="K875" s="1">
        <f>INDEX(products!$A$1:$G$49,MATCH(orders!$D875,products!$A$1:$A$49,0),MATCH($K$1,products!$A$1:$G$1,0))</f>
        <v>0.2</v>
      </c>
      <c r="L875">
        <f>INDEX(products!$A$1:$G$49,MATCH(orders!$D875,products!$A$1:$A$49,0),MATCH($L$1,products!$A$1:$G$1,0))</f>
        <v>2.9849999999999999</v>
      </c>
      <c r="M875">
        <f t="shared" si="40"/>
        <v>11.94</v>
      </c>
      <c r="N875" t="str">
        <f t="shared" si="41"/>
        <v>Robusta</v>
      </c>
      <c r="O875" t="str">
        <f t="shared" si="42"/>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_xlfn.XLOOKUP(C876,customers!$A$2:$A$1001,customers!$B$2:$B$1001,0)</f>
        <v>Jaquenette Skentelbery</v>
      </c>
      <c r="G876" s="2" t="str">
        <f>_xlfn.XLOOKUP(C876,customers!$A$2:$A$1001,customers!$C$2:$C$1001,0)</f>
        <v>jskentelberyoa@paypal.com</v>
      </c>
      <c r="H876" s="2" t="str">
        <f>_xlfn.XLOOKUP(orders!C876,customers!$A$2:$A$1001,customers!$G$2:$G$1001,0)</f>
        <v>United States</v>
      </c>
      <c r="I876" t="str">
        <f>INDEX(products!$A$1:$G$49,MATCH(orders!$D876,products!$A$1:$A$49,0),MATCH($I$1,products!$A$1:$G$1,0))</f>
        <v>Ara</v>
      </c>
      <c r="J876" t="str">
        <f>INDEX(products!$A$1:$G$49,MATCH(orders!$D876,products!$A$1:$A$49,0),MATCH($J$1,products!$A$1:$G$1,0))</f>
        <v>L</v>
      </c>
      <c r="K876" s="1">
        <f>INDEX(products!$A$1:$G$49,MATCH(orders!$D876,products!$A$1:$A$49,0),MATCH($K$1,products!$A$1:$G$1,0))</f>
        <v>1</v>
      </c>
      <c r="L876">
        <f>INDEX(products!$A$1:$G$49,MATCH(orders!$D876,products!$A$1:$A$49,0),MATCH($L$1,products!$A$1:$G$1,0))</f>
        <v>12.95</v>
      </c>
      <c r="M876">
        <f t="shared" si="40"/>
        <v>25.9</v>
      </c>
      <c r="N876" t="str">
        <f t="shared" si="41"/>
        <v>Arabica</v>
      </c>
      <c r="O876" t="str">
        <f t="shared" si="42"/>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_xlfn.XLOOKUP(C877,customers!$A$2:$A$1001,customers!$B$2:$B$1001,0)</f>
        <v>Orazio Comber</v>
      </c>
      <c r="G877" s="2" t="str">
        <f>_xlfn.XLOOKUP(C877,customers!$A$2:$A$1001,customers!$C$2:$C$1001,0)</f>
        <v>ocomberob@goo.gl</v>
      </c>
      <c r="H877" s="2" t="str">
        <f>_xlfn.XLOOKUP(orders!C877,customers!$A$2:$A$1001,customers!$G$2:$G$1001,0)</f>
        <v>Ireland</v>
      </c>
      <c r="I877" t="str">
        <f>INDEX(products!$A$1:$G$49,MATCH(orders!$D877,products!$A$1:$A$49,0),MATCH($I$1,products!$A$1:$G$1,0))</f>
        <v>Lib</v>
      </c>
      <c r="J877" t="str">
        <f>INDEX(products!$A$1:$G$49,MATCH(orders!$D877,products!$A$1:$A$49,0),MATCH($J$1,products!$A$1:$G$1,0))</f>
        <v>M</v>
      </c>
      <c r="K877" s="1">
        <f>INDEX(products!$A$1:$G$49,MATCH(orders!$D877,products!$A$1:$A$49,0),MATCH($K$1,products!$A$1:$G$1,0))</f>
        <v>0.5</v>
      </c>
      <c r="L877">
        <f>INDEX(products!$A$1:$G$49,MATCH(orders!$D877,products!$A$1:$A$49,0),MATCH($L$1,products!$A$1:$G$1,0))</f>
        <v>8.73</v>
      </c>
      <c r="M877">
        <f t="shared" si="40"/>
        <v>43.650000000000006</v>
      </c>
      <c r="N877" t="str">
        <f t="shared" si="41"/>
        <v>Liberica</v>
      </c>
      <c r="O877" t="str">
        <f t="shared" si="42"/>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_xlfn.XLOOKUP(C878,customers!$A$2:$A$1001,customers!$B$2:$B$1001,0)</f>
        <v>Orazio Comber</v>
      </c>
      <c r="G878" s="2" t="str">
        <f>_xlfn.XLOOKUP(C878,customers!$A$2:$A$1001,customers!$C$2:$C$1001,0)</f>
        <v>ocomberob@goo.gl</v>
      </c>
      <c r="H878" s="2" t="str">
        <f>_xlfn.XLOOKUP(orders!C878,customers!$A$2:$A$1001,customers!$G$2:$G$1001,0)</f>
        <v>Ireland</v>
      </c>
      <c r="I878" t="str">
        <f>INDEX(products!$A$1:$G$49,MATCH(orders!$D878,products!$A$1:$A$49,0),MATCH($I$1,products!$A$1:$G$1,0))</f>
        <v>Ara</v>
      </c>
      <c r="J878" t="str">
        <f>INDEX(products!$A$1:$G$49,MATCH(orders!$D878,products!$A$1:$A$49,0),MATCH($J$1,products!$A$1:$G$1,0))</f>
        <v>L</v>
      </c>
      <c r="K878" s="1">
        <f>INDEX(products!$A$1:$G$49,MATCH(orders!$D878,products!$A$1:$A$49,0),MATCH($K$1,products!$A$1:$G$1,0))</f>
        <v>0.5</v>
      </c>
      <c r="L878">
        <f>INDEX(products!$A$1:$G$49,MATCH(orders!$D878,products!$A$1:$A$49,0),MATCH($L$1,products!$A$1:$G$1,0))</f>
        <v>7.77</v>
      </c>
      <c r="M878">
        <f t="shared" si="40"/>
        <v>46.62</v>
      </c>
      <c r="N878" t="str">
        <f t="shared" si="41"/>
        <v>Arabica</v>
      </c>
      <c r="O878" t="str">
        <f t="shared" si="42"/>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_xlfn.XLOOKUP(C879,customers!$A$2:$A$1001,customers!$B$2:$B$1001,0)</f>
        <v>Zachary Tramel</v>
      </c>
      <c r="G879" s="2" t="str">
        <f>_xlfn.XLOOKUP(C879,customers!$A$2:$A$1001,customers!$C$2:$C$1001,0)</f>
        <v>ztramelod@netlog.com</v>
      </c>
      <c r="H879" s="2" t="str">
        <f>_xlfn.XLOOKUP(orders!C879,customers!$A$2:$A$1001,customers!$G$2:$G$1001,0)</f>
        <v>United States</v>
      </c>
      <c r="I879" t="str">
        <f>INDEX(products!$A$1:$G$49,MATCH(orders!$D879,products!$A$1:$A$49,0),MATCH($I$1,products!$A$1:$G$1,0))</f>
        <v>Lib</v>
      </c>
      <c r="J879" t="str">
        <f>INDEX(products!$A$1:$G$49,MATCH(orders!$D879,products!$A$1:$A$49,0),MATCH($J$1,products!$A$1:$G$1,0))</f>
        <v>L</v>
      </c>
      <c r="K879" s="1">
        <f>INDEX(products!$A$1:$G$49,MATCH(orders!$D879,products!$A$1:$A$49,0),MATCH($K$1,products!$A$1:$G$1,0))</f>
        <v>0.5</v>
      </c>
      <c r="L879">
        <f>INDEX(products!$A$1:$G$49,MATCH(orders!$D879,products!$A$1:$A$49,0),MATCH($L$1,products!$A$1:$G$1,0))</f>
        <v>9.51</v>
      </c>
      <c r="M879">
        <f t="shared" si="40"/>
        <v>28.53</v>
      </c>
      <c r="N879" t="str">
        <f t="shared" si="41"/>
        <v>Liberica</v>
      </c>
      <c r="O879" t="str">
        <f t="shared" si="42"/>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_xlfn.XLOOKUP(C880,customers!$A$2:$A$1001,customers!$B$2:$B$1001,0)</f>
        <v>Izaak Primak</v>
      </c>
      <c r="G880" s="2">
        <f>_xlfn.XLOOKUP(C880,customers!$A$2:$A$1001,customers!$C$2:$C$1001,0)</f>
        <v>0</v>
      </c>
      <c r="H880" s="2" t="str">
        <f>_xlfn.XLOOKUP(orders!C880,customers!$A$2:$A$1001,customers!$G$2:$G$1001,0)</f>
        <v>United States</v>
      </c>
      <c r="I880" t="str">
        <f>INDEX(products!$A$1:$G$49,MATCH(orders!$D880,products!$A$1:$A$49,0),MATCH($I$1,products!$A$1:$G$1,0))</f>
        <v>Rob</v>
      </c>
      <c r="J880" t="str">
        <f>INDEX(products!$A$1:$G$49,MATCH(orders!$D880,products!$A$1:$A$49,0),MATCH($J$1,products!$A$1:$G$1,0))</f>
        <v>L</v>
      </c>
      <c r="K880" s="1">
        <f>INDEX(products!$A$1:$G$49,MATCH(orders!$D880,products!$A$1:$A$49,0),MATCH($K$1,products!$A$1:$G$1,0))</f>
        <v>2.5</v>
      </c>
      <c r="L880">
        <f>INDEX(products!$A$1:$G$49,MATCH(orders!$D880,products!$A$1:$A$49,0),MATCH($L$1,products!$A$1:$G$1,0))</f>
        <v>27.484999999999996</v>
      </c>
      <c r="M880">
        <f t="shared" si="40"/>
        <v>27.484999999999996</v>
      </c>
      <c r="N880" t="str">
        <f t="shared" si="41"/>
        <v>Robusta</v>
      </c>
      <c r="O880" t="str">
        <f t="shared" si="42"/>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_xlfn.XLOOKUP(C881,customers!$A$2:$A$1001,customers!$B$2:$B$1001,0)</f>
        <v>Brittani Thoresbie</v>
      </c>
      <c r="G881" s="2">
        <f>_xlfn.XLOOKUP(C881,customers!$A$2:$A$1001,customers!$C$2:$C$1001,0)</f>
        <v>0</v>
      </c>
      <c r="H881" s="2" t="str">
        <f>_xlfn.XLOOKUP(orders!C881,customers!$A$2:$A$1001,customers!$G$2:$G$1001,0)</f>
        <v>United States</v>
      </c>
      <c r="I881" t="str">
        <f>INDEX(products!$A$1:$G$49,MATCH(orders!$D881,products!$A$1:$A$49,0),MATCH($I$1,products!$A$1:$G$1,0))</f>
        <v>Exc</v>
      </c>
      <c r="J881" t="str">
        <f>INDEX(products!$A$1:$G$49,MATCH(orders!$D881,products!$A$1:$A$49,0),MATCH($J$1,products!$A$1:$G$1,0))</f>
        <v>D</v>
      </c>
      <c r="K881" s="1">
        <f>INDEX(products!$A$1:$G$49,MATCH(orders!$D881,products!$A$1:$A$49,0),MATCH($K$1,products!$A$1:$G$1,0))</f>
        <v>0.2</v>
      </c>
      <c r="L881">
        <f>INDEX(products!$A$1:$G$49,MATCH(orders!$D881,products!$A$1:$A$49,0),MATCH($L$1,products!$A$1:$G$1,0))</f>
        <v>3.645</v>
      </c>
      <c r="M881">
        <f t="shared" si="40"/>
        <v>10.935</v>
      </c>
      <c r="N881" t="str">
        <f t="shared" si="41"/>
        <v>Excelsa</v>
      </c>
      <c r="O881" t="str">
        <f t="shared" si="42"/>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_xlfn.XLOOKUP(C882,customers!$A$2:$A$1001,customers!$B$2:$B$1001,0)</f>
        <v>Constanta Hatfull</v>
      </c>
      <c r="G882" s="2" t="str">
        <f>_xlfn.XLOOKUP(C882,customers!$A$2:$A$1001,customers!$C$2:$C$1001,0)</f>
        <v>chatfullog@ebay.com</v>
      </c>
      <c r="H882" s="2" t="str">
        <f>_xlfn.XLOOKUP(orders!C882,customers!$A$2:$A$1001,customers!$G$2:$G$1001,0)</f>
        <v>United States</v>
      </c>
      <c r="I882" t="str">
        <f>INDEX(products!$A$1:$G$49,MATCH(orders!$D882,products!$A$1:$A$49,0),MATCH($I$1,products!$A$1:$G$1,0))</f>
        <v>Rob</v>
      </c>
      <c r="J882" t="str">
        <f>INDEX(products!$A$1:$G$49,MATCH(orders!$D882,products!$A$1:$A$49,0),MATCH($J$1,products!$A$1:$G$1,0))</f>
        <v>L</v>
      </c>
      <c r="K882" s="1">
        <f>INDEX(products!$A$1:$G$49,MATCH(orders!$D882,products!$A$1:$A$49,0),MATCH($K$1,products!$A$1:$G$1,0))</f>
        <v>0.2</v>
      </c>
      <c r="L882">
        <f>INDEX(products!$A$1:$G$49,MATCH(orders!$D882,products!$A$1:$A$49,0),MATCH($L$1,products!$A$1:$G$1,0))</f>
        <v>3.5849999999999995</v>
      </c>
      <c r="M882">
        <f t="shared" si="40"/>
        <v>7.169999999999999</v>
      </c>
      <c r="N882" t="str">
        <f t="shared" si="41"/>
        <v>Robusta</v>
      </c>
      <c r="O882" t="str">
        <f t="shared" si="42"/>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_xlfn.XLOOKUP(C883,customers!$A$2:$A$1001,customers!$B$2:$B$1001,0)</f>
        <v>Bobbe Castagneto</v>
      </c>
      <c r="G883" s="2">
        <f>_xlfn.XLOOKUP(C883,customers!$A$2:$A$1001,customers!$C$2:$C$1001,0)</f>
        <v>0</v>
      </c>
      <c r="H883" s="2" t="str">
        <f>_xlfn.XLOOKUP(orders!C883,customers!$A$2:$A$1001,customers!$G$2:$G$1001,0)</f>
        <v>United States</v>
      </c>
      <c r="I883" t="str">
        <f>INDEX(products!$A$1:$G$49,MATCH(orders!$D883,products!$A$1:$A$49,0),MATCH($I$1,products!$A$1:$G$1,0))</f>
        <v>Ara</v>
      </c>
      <c r="J883" t="str">
        <f>INDEX(products!$A$1:$G$49,MATCH(orders!$D883,products!$A$1:$A$49,0),MATCH($J$1,products!$A$1:$G$1,0))</f>
        <v>L</v>
      </c>
      <c r="K883" s="1">
        <f>INDEX(products!$A$1:$G$49,MATCH(orders!$D883,products!$A$1:$A$49,0),MATCH($K$1,products!$A$1:$G$1,0))</f>
        <v>0.2</v>
      </c>
      <c r="L883">
        <f>INDEX(products!$A$1:$G$49,MATCH(orders!$D883,products!$A$1:$A$49,0),MATCH($L$1,products!$A$1:$G$1,0))</f>
        <v>3.8849999999999998</v>
      </c>
      <c r="M883">
        <f t="shared" si="40"/>
        <v>23.31</v>
      </c>
      <c r="N883" t="str">
        <f t="shared" si="41"/>
        <v>Arabica</v>
      </c>
      <c r="O883" t="str">
        <f t="shared" si="42"/>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_xlfn.XLOOKUP(C884,customers!$A$2:$A$1001,customers!$B$2:$B$1001,0)</f>
        <v>Kippie Marrison</v>
      </c>
      <c r="G884" s="2" t="str">
        <f>_xlfn.XLOOKUP(C884,customers!$A$2:$A$1001,customers!$C$2:$C$1001,0)</f>
        <v>kmarrisonoq@dropbox.com</v>
      </c>
      <c r="H884" s="2" t="str">
        <f>_xlfn.XLOOKUP(orders!C884,customers!$A$2:$A$1001,customers!$G$2:$G$1001,0)</f>
        <v>United States</v>
      </c>
      <c r="I884" t="str">
        <f>INDEX(products!$A$1:$G$49,MATCH(orders!$D884,products!$A$1:$A$49,0),MATCH($I$1,products!$A$1:$G$1,0))</f>
        <v>Ara</v>
      </c>
      <c r="J884" t="str">
        <f>INDEX(products!$A$1:$G$49,MATCH(orders!$D884,products!$A$1:$A$49,0),MATCH($J$1,products!$A$1:$G$1,0))</f>
        <v>D</v>
      </c>
      <c r="K884" s="1">
        <f>INDEX(products!$A$1:$G$49,MATCH(orders!$D884,products!$A$1:$A$49,0),MATCH($K$1,products!$A$1:$G$1,0))</f>
        <v>2.5</v>
      </c>
      <c r="L884">
        <f>INDEX(products!$A$1:$G$49,MATCH(orders!$D884,products!$A$1:$A$49,0),MATCH($L$1,products!$A$1:$G$1,0))</f>
        <v>22.884999999999998</v>
      </c>
      <c r="M884">
        <f t="shared" si="40"/>
        <v>114.42499999999998</v>
      </c>
      <c r="N884" t="str">
        <f t="shared" si="41"/>
        <v>Arabica</v>
      </c>
      <c r="O884" t="str">
        <f t="shared" si="42"/>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_xlfn.XLOOKUP(C885,customers!$A$2:$A$1001,customers!$B$2:$B$1001,0)</f>
        <v>Lindon Agnolo</v>
      </c>
      <c r="G885" s="2" t="str">
        <f>_xlfn.XLOOKUP(C885,customers!$A$2:$A$1001,customers!$C$2:$C$1001,0)</f>
        <v>lagnolooj@pinterest.com</v>
      </c>
      <c r="H885" s="2" t="str">
        <f>_xlfn.XLOOKUP(orders!C885,customers!$A$2:$A$1001,customers!$G$2:$G$1001,0)</f>
        <v>United States</v>
      </c>
      <c r="I885" t="str">
        <f>INDEX(products!$A$1:$G$49,MATCH(orders!$D885,products!$A$1:$A$49,0),MATCH($I$1,products!$A$1:$G$1,0))</f>
        <v>Ara</v>
      </c>
      <c r="J885" t="str">
        <f>INDEX(products!$A$1:$G$49,MATCH(orders!$D885,products!$A$1:$A$49,0),MATCH($J$1,products!$A$1:$G$1,0))</f>
        <v>M</v>
      </c>
      <c r="K885" s="1">
        <f>INDEX(products!$A$1:$G$49,MATCH(orders!$D885,products!$A$1:$A$49,0),MATCH($K$1,products!$A$1:$G$1,0))</f>
        <v>2.5</v>
      </c>
      <c r="L885">
        <f>INDEX(products!$A$1:$G$49,MATCH(orders!$D885,products!$A$1:$A$49,0),MATCH($L$1,products!$A$1:$G$1,0))</f>
        <v>25.874999999999996</v>
      </c>
      <c r="M885">
        <f t="shared" si="40"/>
        <v>77.624999999999986</v>
      </c>
      <c r="N885" t="str">
        <f t="shared" si="41"/>
        <v>Arabica</v>
      </c>
      <c r="O885" t="str">
        <f t="shared" si="42"/>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_xlfn.XLOOKUP(C886,customers!$A$2:$A$1001,customers!$B$2:$B$1001,0)</f>
        <v>Delainey Kiddy</v>
      </c>
      <c r="G886" s="2" t="str">
        <f>_xlfn.XLOOKUP(C886,customers!$A$2:$A$1001,customers!$C$2:$C$1001,0)</f>
        <v>dkiddyok@fda.gov</v>
      </c>
      <c r="H886" s="2" t="str">
        <f>_xlfn.XLOOKUP(orders!C886,customers!$A$2:$A$1001,customers!$G$2:$G$1001,0)</f>
        <v>United States</v>
      </c>
      <c r="I886" t="str">
        <f>INDEX(products!$A$1:$G$49,MATCH(orders!$D886,products!$A$1:$A$49,0),MATCH($I$1,products!$A$1:$G$1,0))</f>
        <v>Rob</v>
      </c>
      <c r="J886" t="str">
        <f>INDEX(products!$A$1:$G$49,MATCH(orders!$D886,products!$A$1:$A$49,0),MATCH($J$1,products!$A$1:$G$1,0))</f>
        <v>D</v>
      </c>
      <c r="K886" s="1">
        <f>INDEX(products!$A$1:$G$49,MATCH(orders!$D886,products!$A$1:$A$49,0),MATCH($K$1,products!$A$1:$G$1,0))</f>
        <v>0.5</v>
      </c>
      <c r="L886">
        <f>INDEX(products!$A$1:$G$49,MATCH(orders!$D886,products!$A$1:$A$49,0),MATCH($L$1,products!$A$1:$G$1,0))</f>
        <v>5.3699999999999992</v>
      </c>
      <c r="M886">
        <f t="shared" si="40"/>
        <v>5.3699999999999992</v>
      </c>
      <c r="N886" t="str">
        <f t="shared" si="41"/>
        <v>Robusta</v>
      </c>
      <c r="O886" t="str">
        <f t="shared" si="42"/>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_xlfn.XLOOKUP(C887,customers!$A$2:$A$1001,customers!$B$2:$B$1001,0)</f>
        <v>Helli Petroulis</v>
      </c>
      <c r="G887" s="2" t="str">
        <f>_xlfn.XLOOKUP(C887,customers!$A$2:$A$1001,customers!$C$2:$C$1001,0)</f>
        <v>hpetroulisol@state.tx.us</v>
      </c>
      <c r="H887" s="2" t="str">
        <f>_xlfn.XLOOKUP(orders!C887,customers!$A$2:$A$1001,customers!$G$2:$G$1001,0)</f>
        <v>Ireland</v>
      </c>
      <c r="I887" t="str">
        <f>INDEX(products!$A$1:$G$49,MATCH(orders!$D887,products!$A$1:$A$49,0),MATCH($I$1,products!$A$1:$G$1,0))</f>
        <v>Rob</v>
      </c>
      <c r="J887" t="str">
        <f>INDEX(products!$A$1:$G$49,MATCH(orders!$D887,products!$A$1:$A$49,0),MATCH($J$1,products!$A$1:$G$1,0))</f>
        <v>D</v>
      </c>
      <c r="K887" s="1">
        <f>INDEX(products!$A$1:$G$49,MATCH(orders!$D887,products!$A$1:$A$49,0),MATCH($K$1,products!$A$1:$G$1,0))</f>
        <v>2.5</v>
      </c>
      <c r="L887">
        <f>INDEX(products!$A$1:$G$49,MATCH(orders!$D887,products!$A$1:$A$49,0),MATCH($L$1,products!$A$1:$G$1,0))</f>
        <v>20.584999999999997</v>
      </c>
      <c r="M887">
        <f t="shared" si="40"/>
        <v>123.50999999999999</v>
      </c>
      <c r="N887" t="str">
        <f t="shared" si="41"/>
        <v>Robusta</v>
      </c>
      <c r="O887" t="str">
        <f t="shared" si="42"/>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_xlfn.XLOOKUP(C888,customers!$A$2:$A$1001,customers!$B$2:$B$1001,0)</f>
        <v>Marty Scholl</v>
      </c>
      <c r="G888" s="2" t="str">
        <f>_xlfn.XLOOKUP(C888,customers!$A$2:$A$1001,customers!$C$2:$C$1001,0)</f>
        <v>mschollom@taobao.com</v>
      </c>
      <c r="H888" s="2" t="str">
        <f>_xlfn.XLOOKUP(orders!C888,customers!$A$2:$A$1001,customers!$G$2:$G$1001,0)</f>
        <v>United States</v>
      </c>
      <c r="I888" t="str">
        <f>INDEX(products!$A$1:$G$49,MATCH(orders!$D888,products!$A$1:$A$49,0),MATCH($I$1,products!$A$1:$G$1,0))</f>
        <v>Lib</v>
      </c>
      <c r="J888" t="str">
        <f>INDEX(products!$A$1:$G$49,MATCH(orders!$D888,products!$A$1:$A$49,0),MATCH($J$1,products!$A$1:$G$1,0))</f>
        <v>M</v>
      </c>
      <c r="K888" s="1">
        <f>INDEX(products!$A$1:$G$49,MATCH(orders!$D888,products!$A$1:$A$49,0),MATCH($K$1,products!$A$1:$G$1,0))</f>
        <v>0.5</v>
      </c>
      <c r="L888">
        <f>INDEX(products!$A$1:$G$49,MATCH(orders!$D888,products!$A$1:$A$49,0),MATCH($L$1,products!$A$1:$G$1,0))</f>
        <v>8.73</v>
      </c>
      <c r="M888">
        <f t="shared" si="40"/>
        <v>17.46</v>
      </c>
      <c r="N888" t="str">
        <f t="shared" si="41"/>
        <v>Liberica</v>
      </c>
      <c r="O888" t="str">
        <f t="shared" si="42"/>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_xlfn.XLOOKUP(C889,customers!$A$2:$A$1001,customers!$B$2:$B$1001,0)</f>
        <v>Kienan Ferson</v>
      </c>
      <c r="G889" s="2" t="str">
        <f>_xlfn.XLOOKUP(C889,customers!$A$2:$A$1001,customers!$C$2:$C$1001,0)</f>
        <v>kfersonon@g.co</v>
      </c>
      <c r="H889" s="2" t="str">
        <f>_xlfn.XLOOKUP(orders!C889,customers!$A$2:$A$1001,customers!$G$2:$G$1001,0)</f>
        <v>United States</v>
      </c>
      <c r="I889" t="str">
        <f>INDEX(products!$A$1:$G$49,MATCH(orders!$D889,products!$A$1:$A$49,0),MATCH($I$1,products!$A$1:$G$1,0))</f>
        <v>Exc</v>
      </c>
      <c r="J889" t="str">
        <f>INDEX(products!$A$1:$G$49,MATCH(orders!$D889,products!$A$1:$A$49,0),MATCH($J$1,products!$A$1:$G$1,0))</f>
        <v>L</v>
      </c>
      <c r="K889" s="1">
        <f>INDEX(products!$A$1:$G$49,MATCH(orders!$D889,products!$A$1:$A$49,0),MATCH($K$1,products!$A$1:$G$1,0))</f>
        <v>0.2</v>
      </c>
      <c r="L889">
        <f>INDEX(products!$A$1:$G$49,MATCH(orders!$D889,products!$A$1:$A$49,0),MATCH($L$1,products!$A$1:$G$1,0))</f>
        <v>4.4550000000000001</v>
      </c>
      <c r="M889">
        <f t="shared" si="40"/>
        <v>13.365</v>
      </c>
      <c r="N889" t="str">
        <f t="shared" si="41"/>
        <v>Excelsa</v>
      </c>
      <c r="O889" t="str">
        <f t="shared" si="42"/>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_xlfn.XLOOKUP(C890,customers!$A$2:$A$1001,customers!$B$2:$B$1001,0)</f>
        <v>Blake Kelloway</v>
      </c>
      <c r="G890" s="2" t="str">
        <f>_xlfn.XLOOKUP(C890,customers!$A$2:$A$1001,customers!$C$2:$C$1001,0)</f>
        <v>bkellowayoo@omniture.com</v>
      </c>
      <c r="H890" s="2" t="str">
        <f>_xlfn.XLOOKUP(orders!C890,customers!$A$2:$A$1001,customers!$G$2:$G$1001,0)</f>
        <v>United States</v>
      </c>
      <c r="I890" t="str">
        <f>INDEX(products!$A$1:$G$49,MATCH(orders!$D890,products!$A$1:$A$49,0),MATCH($I$1,products!$A$1:$G$1,0))</f>
        <v>Ara</v>
      </c>
      <c r="J890" t="str">
        <f>INDEX(products!$A$1:$G$49,MATCH(orders!$D890,products!$A$1:$A$49,0),MATCH($J$1,products!$A$1:$G$1,0))</f>
        <v>L</v>
      </c>
      <c r="K890" s="1">
        <f>INDEX(products!$A$1:$G$49,MATCH(orders!$D890,products!$A$1:$A$49,0),MATCH($K$1,products!$A$1:$G$1,0))</f>
        <v>0.2</v>
      </c>
      <c r="L890">
        <f>INDEX(products!$A$1:$G$49,MATCH(orders!$D890,products!$A$1:$A$49,0),MATCH($L$1,products!$A$1:$G$1,0))</f>
        <v>3.8849999999999998</v>
      </c>
      <c r="M890">
        <f t="shared" si="40"/>
        <v>7.77</v>
      </c>
      <c r="N890" t="str">
        <f t="shared" si="41"/>
        <v>Arabica</v>
      </c>
      <c r="O890" t="str">
        <f t="shared" si="42"/>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_xlfn.XLOOKUP(C891,customers!$A$2:$A$1001,customers!$B$2:$B$1001,0)</f>
        <v>Scarlett Oliffe</v>
      </c>
      <c r="G891" s="2" t="str">
        <f>_xlfn.XLOOKUP(C891,customers!$A$2:$A$1001,customers!$C$2:$C$1001,0)</f>
        <v>soliffeop@yellowbook.com</v>
      </c>
      <c r="H891" s="2" t="str">
        <f>_xlfn.XLOOKUP(orders!C891,customers!$A$2:$A$1001,customers!$G$2:$G$1001,0)</f>
        <v>United States</v>
      </c>
      <c r="I891" t="str">
        <f>INDEX(products!$A$1:$G$49,MATCH(orders!$D891,products!$A$1:$A$49,0),MATCH($I$1,products!$A$1:$G$1,0))</f>
        <v>Rob</v>
      </c>
      <c r="J891" t="str">
        <f>INDEX(products!$A$1:$G$49,MATCH(orders!$D891,products!$A$1:$A$49,0),MATCH($J$1,products!$A$1:$G$1,0))</f>
        <v>D</v>
      </c>
      <c r="K891" s="1">
        <f>INDEX(products!$A$1:$G$49,MATCH(orders!$D891,products!$A$1:$A$49,0),MATCH($K$1,products!$A$1:$G$1,0))</f>
        <v>0.2</v>
      </c>
      <c r="L891">
        <f>INDEX(products!$A$1:$G$49,MATCH(orders!$D891,products!$A$1:$A$49,0),MATCH($L$1,products!$A$1:$G$1,0))</f>
        <v>2.6849999999999996</v>
      </c>
      <c r="M891">
        <f t="shared" si="40"/>
        <v>2.6849999999999996</v>
      </c>
      <c r="N891" t="str">
        <f t="shared" si="41"/>
        <v>Robusta</v>
      </c>
      <c r="O891" t="str">
        <f t="shared" si="42"/>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_xlfn.XLOOKUP(C892,customers!$A$2:$A$1001,customers!$B$2:$B$1001,0)</f>
        <v>Kippie Marrison</v>
      </c>
      <c r="G892" s="2" t="str">
        <f>_xlfn.XLOOKUP(C892,customers!$A$2:$A$1001,customers!$C$2:$C$1001,0)</f>
        <v>kmarrisonoq@dropbox.com</v>
      </c>
      <c r="H892" s="2" t="str">
        <f>_xlfn.XLOOKUP(orders!C892,customers!$A$2:$A$1001,customers!$G$2:$G$1001,0)</f>
        <v>United States</v>
      </c>
      <c r="I892" t="str">
        <f>INDEX(products!$A$1:$G$49,MATCH(orders!$D892,products!$A$1:$A$49,0),MATCH($I$1,products!$A$1:$G$1,0))</f>
        <v>Rob</v>
      </c>
      <c r="J892" t="str">
        <f>INDEX(products!$A$1:$G$49,MATCH(orders!$D892,products!$A$1:$A$49,0),MATCH($J$1,products!$A$1:$G$1,0))</f>
        <v>D</v>
      </c>
      <c r="K892" s="1">
        <f>INDEX(products!$A$1:$G$49,MATCH(orders!$D892,products!$A$1:$A$49,0),MATCH($K$1,products!$A$1:$G$1,0))</f>
        <v>2.5</v>
      </c>
      <c r="L892">
        <f>INDEX(products!$A$1:$G$49,MATCH(orders!$D892,products!$A$1:$A$49,0),MATCH($L$1,products!$A$1:$G$1,0))</f>
        <v>20.584999999999997</v>
      </c>
      <c r="M892">
        <f t="shared" si="40"/>
        <v>20.584999999999997</v>
      </c>
      <c r="N892" t="str">
        <f t="shared" si="41"/>
        <v>Robusta</v>
      </c>
      <c r="O892" t="str">
        <f t="shared" si="42"/>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_xlfn.XLOOKUP(C893,customers!$A$2:$A$1001,customers!$B$2:$B$1001,0)</f>
        <v>Celestia Dolohunty</v>
      </c>
      <c r="G893" s="2" t="str">
        <f>_xlfn.XLOOKUP(C893,customers!$A$2:$A$1001,customers!$C$2:$C$1001,0)</f>
        <v>cdolohuntyor@dailymail.co.uk</v>
      </c>
      <c r="H893" s="2" t="str">
        <f>_xlfn.XLOOKUP(orders!C893,customers!$A$2:$A$1001,customers!$G$2:$G$1001,0)</f>
        <v>United States</v>
      </c>
      <c r="I893" t="str">
        <f>INDEX(products!$A$1:$G$49,MATCH(orders!$D893,products!$A$1:$A$49,0),MATCH($I$1,products!$A$1:$G$1,0))</f>
        <v>Ara</v>
      </c>
      <c r="J893" t="str">
        <f>INDEX(products!$A$1:$G$49,MATCH(orders!$D893,products!$A$1:$A$49,0),MATCH($J$1,products!$A$1:$G$1,0))</f>
        <v>D</v>
      </c>
      <c r="K893" s="1">
        <f>INDEX(products!$A$1:$G$49,MATCH(orders!$D893,products!$A$1:$A$49,0),MATCH($K$1,products!$A$1:$G$1,0))</f>
        <v>2.5</v>
      </c>
      <c r="L893">
        <f>INDEX(products!$A$1:$G$49,MATCH(orders!$D893,products!$A$1:$A$49,0),MATCH($L$1,products!$A$1:$G$1,0))</f>
        <v>22.884999999999998</v>
      </c>
      <c r="M893">
        <f t="shared" si="40"/>
        <v>114.42499999999998</v>
      </c>
      <c r="N893" t="str">
        <f t="shared" si="41"/>
        <v>Arabica</v>
      </c>
      <c r="O893" t="str">
        <f t="shared" si="42"/>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_xlfn.XLOOKUP(C894,customers!$A$2:$A$1001,customers!$B$2:$B$1001,0)</f>
        <v>Patsy Vasilenko</v>
      </c>
      <c r="G894" s="2" t="str">
        <f>_xlfn.XLOOKUP(C894,customers!$A$2:$A$1001,customers!$C$2:$C$1001,0)</f>
        <v>pvasilenkoos@addtoany.com</v>
      </c>
      <c r="H894" s="2" t="str">
        <f>_xlfn.XLOOKUP(orders!C894,customers!$A$2:$A$1001,customers!$G$2:$G$1001,0)</f>
        <v>United Kingdom</v>
      </c>
      <c r="I894" t="str">
        <f>INDEX(products!$A$1:$G$49,MATCH(orders!$D894,products!$A$1:$A$49,0),MATCH($I$1,products!$A$1:$G$1,0))</f>
        <v>Exc</v>
      </c>
      <c r="J894" t="str">
        <f>INDEX(products!$A$1:$G$49,MATCH(orders!$D894,products!$A$1:$A$49,0),MATCH($J$1,products!$A$1:$G$1,0))</f>
        <v>M</v>
      </c>
      <c r="K894" s="1">
        <f>INDEX(products!$A$1:$G$49,MATCH(orders!$D894,products!$A$1:$A$49,0),MATCH($K$1,products!$A$1:$G$1,0))</f>
        <v>0.2</v>
      </c>
      <c r="L894">
        <f>INDEX(products!$A$1:$G$49,MATCH(orders!$D894,products!$A$1:$A$49,0),MATCH($L$1,products!$A$1:$G$1,0))</f>
        <v>4.125</v>
      </c>
      <c r="M894">
        <f t="shared" si="40"/>
        <v>20.625</v>
      </c>
      <c r="N894" t="str">
        <f t="shared" si="41"/>
        <v>Excelsa</v>
      </c>
      <c r="O894" t="str">
        <f t="shared" si="42"/>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_xlfn.XLOOKUP(C895,customers!$A$2:$A$1001,customers!$B$2:$B$1001,0)</f>
        <v>Raphaela Schankelborg</v>
      </c>
      <c r="G895" s="2" t="str">
        <f>_xlfn.XLOOKUP(C895,customers!$A$2:$A$1001,customers!$C$2:$C$1001,0)</f>
        <v>rschankelborgot@ameblo.jp</v>
      </c>
      <c r="H895" s="2" t="str">
        <f>_xlfn.XLOOKUP(orders!C895,customers!$A$2:$A$1001,customers!$G$2:$G$1001,0)</f>
        <v>United States</v>
      </c>
      <c r="I895" t="str">
        <f>INDEX(products!$A$1:$G$49,MATCH(orders!$D895,products!$A$1:$A$49,0),MATCH($I$1,products!$A$1:$G$1,0))</f>
        <v>Lib</v>
      </c>
      <c r="J895" t="str">
        <f>INDEX(products!$A$1:$G$49,MATCH(orders!$D895,products!$A$1:$A$49,0),MATCH($J$1,products!$A$1:$G$1,0))</f>
        <v>L</v>
      </c>
      <c r="K895" s="1">
        <f>INDEX(products!$A$1:$G$49,MATCH(orders!$D895,products!$A$1:$A$49,0),MATCH($K$1,products!$A$1:$G$1,0))</f>
        <v>0.5</v>
      </c>
      <c r="L895">
        <f>INDEX(products!$A$1:$G$49,MATCH(orders!$D895,products!$A$1:$A$49,0),MATCH($L$1,products!$A$1:$G$1,0))</f>
        <v>9.51</v>
      </c>
      <c r="M895">
        <f t="shared" si="40"/>
        <v>57.06</v>
      </c>
      <c r="N895" t="str">
        <f t="shared" si="41"/>
        <v>Liberica</v>
      </c>
      <c r="O895" t="str">
        <f t="shared" si="42"/>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_xlfn.XLOOKUP(C896,customers!$A$2:$A$1001,customers!$B$2:$B$1001,0)</f>
        <v>Sharity Wickens</v>
      </c>
      <c r="G896" s="2">
        <f>_xlfn.XLOOKUP(C896,customers!$A$2:$A$1001,customers!$C$2:$C$1001,0)</f>
        <v>0</v>
      </c>
      <c r="H896" s="2" t="str">
        <f>_xlfn.XLOOKUP(orders!C896,customers!$A$2:$A$1001,customers!$G$2:$G$1001,0)</f>
        <v>Ireland</v>
      </c>
      <c r="I896" t="str">
        <f>INDEX(products!$A$1:$G$49,MATCH(orders!$D896,products!$A$1:$A$49,0),MATCH($I$1,products!$A$1:$G$1,0))</f>
        <v>Rob</v>
      </c>
      <c r="J896" t="str">
        <f>INDEX(products!$A$1:$G$49,MATCH(orders!$D896,products!$A$1:$A$49,0),MATCH($J$1,products!$A$1:$G$1,0))</f>
        <v>D</v>
      </c>
      <c r="K896" s="1">
        <f>INDEX(products!$A$1:$G$49,MATCH(orders!$D896,products!$A$1:$A$49,0),MATCH($K$1,products!$A$1:$G$1,0))</f>
        <v>2.5</v>
      </c>
      <c r="L896">
        <f>INDEX(products!$A$1:$G$49,MATCH(orders!$D896,products!$A$1:$A$49,0),MATCH($L$1,products!$A$1:$G$1,0))</f>
        <v>20.584999999999997</v>
      </c>
      <c r="M896">
        <f t="shared" si="40"/>
        <v>82.339999999999989</v>
      </c>
      <c r="N896" t="str">
        <f t="shared" si="41"/>
        <v>Robusta</v>
      </c>
      <c r="O896" t="str">
        <f t="shared" si="42"/>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_xlfn.XLOOKUP(C897,customers!$A$2:$A$1001,customers!$B$2:$B$1001,0)</f>
        <v>Derick Snow</v>
      </c>
      <c r="G897" s="2">
        <f>_xlfn.XLOOKUP(C897,customers!$A$2:$A$1001,customers!$C$2:$C$1001,0)</f>
        <v>0</v>
      </c>
      <c r="H897" s="2" t="str">
        <f>_xlfn.XLOOKUP(orders!C897,customers!$A$2:$A$1001,customers!$G$2:$G$1001,0)</f>
        <v>United States</v>
      </c>
      <c r="I897" t="str">
        <f>INDEX(products!$A$1:$G$49,MATCH(orders!$D897,products!$A$1:$A$49,0),MATCH($I$1,products!$A$1:$G$1,0))</f>
        <v>Exc</v>
      </c>
      <c r="J897" t="str">
        <f>INDEX(products!$A$1:$G$49,MATCH(orders!$D897,products!$A$1:$A$49,0),MATCH($J$1,products!$A$1:$G$1,0))</f>
        <v>M</v>
      </c>
      <c r="K897" s="1">
        <f>INDEX(products!$A$1:$G$49,MATCH(orders!$D897,products!$A$1:$A$49,0),MATCH($K$1,products!$A$1:$G$1,0))</f>
        <v>2.5</v>
      </c>
      <c r="L897">
        <f>INDEX(products!$A$1:$G$49,MATCH(orders!$D897,products!$A$1:$A$49,0),MATCH($L$1,products!$A$1:$G$1,0))</f>
        <v>31.624999999999996</v>
      </c>
      <c r="M897">
        <f t="shared" si="40"/>
        <v>158.12499999999997</v>
      </c>
      <c r="N897" t="str">
        <f t="shared" si="41"/>
        <v>Excelsa</v>
      </c>
      <c r="O897" t="str">
        <f t="shared" si="42"/>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_xlfn.XLOOKUP(C898,customers!$A$2:$A$1001,customers!$B$2:$B$1001,0)</f>
        <v>Baxy Cargen</v>
      </c>
      <c r="G898" s="2" t="str">
        <f>_xlfn.XLOOKUP(C898,customers!$A$2:$A$1001,customers!$C$2:$C$1001,0)</f>
        <v>bcargenow@geocities.jp</v>
      </c>
      <c r="H898" s="2" t="str">
        <f>_xlfn.XLOOKUP(orders!C898,customers!$A$2:$A$1001,customers!$G$2:$G$1001,0)</f>
        <v>United States</v>
      </c>
      <c r="I898" t="str">
        <f>INDEX(products!$A$1:$G$49,MATCH(orders!$D898,products!$A$1:$A$49,0),MATCH($I$1,products!$A$1:$G$1,0))</f>
        <v>Rob</v>
      </c>
      <c r="J898" t="str">
        <f>INDEX(products!$A$1:$G$49,MATCH(orders!$D898,products!$A$1:$A$49,0),MATCH($J$1,products!$A$1:$G$1,0))</f>
        <v>D</v>
      </c>
      <c r="K898" s="1">
        <f>INDEX(products!$A$1:$G$49,MATCH(orders!$D898,products!$A$1:$A$49,0),MATCH($K$1,products!$A$1:$G$1,0))</f>
        <v>0.5</v>
      </c>
      <c r="L898">
        <f>INDEX(products!$A$1:$G$49,MATCH(orders!$D898,products!$A$1:$A$49,0),MATCH($L$1,products!$A$1:$G$1,0))</f>
        <v>5.3699999999999992</v>
      </c>
      <c r="M898">
        <f t="shared" si="40"/>
        <v>32.22</v>
      </c>
      <c r="N898" t="str">
        <f t="shared" si="41"/>
        <v>Robusta</v>
      </c>
      <c r="O898" t="str">
        <f t="shared" si="42"/>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_xlfn.XLOOKUP(C899,customers!$A$2:$A$1001,customers!$B$2:$B$1001,0)</f>
        <v>Ryann Stickler</v>
      </c>
      <c r="G899" s="2" t="str">
        <f>_xlfn.XLOOKUP(C899,customers!$A$2:$A$1001,customers!$C$2:$C$1001,0)</f>
        <v>rsticklerox@printfriendly.com</v>
      </c>
      <c r="H899" s="2" t="str">
        <f>_xlfn.XLOOKUP(orders!C899,customers!$A$2:$A$1001,customers!$G$2:$G$1001,0)</f>
        <v>United Kingdom</v>
      </c>
      <c r="I899" t="str">
        <f>INDEX(products!$A$1:$G$49,MATCH(orders!$D899,products!$A$1:$A$49,0),MATCH($I$1,products!$A$1:$G$1,0))</f>
        <v>Exc</v>
      </c>
      <c r="J899" t="str">
        <f>INDEX(products!$A$1:$G$49,MATCH(orders!$D899,products!$A$1:$A$49,0),MATCH($J$1,products!$A$1:$G$1,0))</f>
        <v>D</v>
      </c>
      <c r="K899" s="1">
        <f>INDEX(products!$A$1:$G$49,MATCH(orders!$D899,products!$A$1:$A$49,0),MATCH($K$1,products!$A$1:$G$1,0))</f>
        <v>1</v>
      </c>
      <c r="L899">
        <f>INDEX(products!$A$1:$G$49,MATCH(orders!$D899,products!$A$1:$A$49,0),MATCH($L$1,products!$A$1:$G$1,0))</f>
        <v>12.15</v>
      </c>
      <c r="M899">
        <f t="shared" ref="M899:M962" si="43">L899*E899</f>
        <v>24.3</v>
      </c>
      <c r="N899" t="str">
        <f t="shared" ref="N899:N962" si="44">IF(I899="Rob","Robusta",IF(I899="Exc","Excelsa",IF(I899="Ara","Arabica",IF(I899="Lib","Liberica",""))))</f>
        <v>Excelsa</v>
      </c>
      <c r="O899" t="str">
        <f t="shared" ref="O899:O962" si="45">IF(J899="M", "Medium", IF(J899="L","Light", IF(J899="D", "Dark","")))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_xlfn.XLOOKUP(C900,customers!$A$2:$A$1001,customers!$B$2:$B$1001,0)</f>
        <v>Daryn Cassius</v>
      </c>
      <c r="G900" s="2">
        <f>_xlfn.XLOOKUP(C900,customers!$A$2:$A$1001,customers!$C$2:$C$1001,0)</f>
        <v>0</v>
      </c>
      <c r="H900" s="2" t="str">
        <f>_xlfn.XLOOKUP(orders!C900,customers!$A$2:$A$1001,customers!$G$2:$G$1001,0)</f>
        <v>United States</v>
      </c>
      <c r="I900" t="str">
        <f>INDEX(products!$A$1:$G$49,MATCH(orders!$D900,products!$A$1:$A$49,0),MATCH($I$1,products!$A$1:$G$1,0))</f>
        <v>Rob</v>
      </c>
      <c r="J900" t="str">
        <f>INDEX(products!$A$1:$G$49,MATCH(orders!$D900,products!$A$1:$A$49,0),MATCH($J$1,products!$A$1:$G$1,0))</f>
        <v>L</v>
      </c>
      <c r="K900" s="1">
        <f>INDEX(products!$A$1:$G$49,MATCH(orders!$D900,products!$A$1:$A$49,0),MATCH($K$1,products!$A$1:$G$1,0))</f>
        <v>0.5</v>
      </c>
      <c r="L900">
        <f>INDEX(products!$A$1:$G$49,MATCH(orders!$D900,products!$A$1:$A$49,0),MATCH($L$1,products!$A$1:$G$1,0))</f>
        <v>7.169999999999999</v>
      </c>
      <c r="M900">
        <f t="shared" si="43"/>
        <v>35.849999999999994</v>
      </c>
      <c r="N900" t="str">
        <f t="shared" si="44"/>
        <v>Robusta</v>
      </c>
      <c r="O900" t="str">
        <f t="shared" si="45"/>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_xlfn.XLOOKUP(C901,customers!$A$2:$A$1001,customers!$B$2:$B$1001,0)</f>
        <v>Derick Snow</v>
      </c>
      <c r="G901" s="2">
        <f>_xlfn.XLOOKUP(C901,customers!$A$2:$A$1001,customers!$C$2:$C$1001,0)</f>
        <v>0</v>
      </c>
      <c r="H901" s="2" t="str">
        <f>_xlfn.XLOOKUP(orders!C901,customers!$A$2:$A$1001,customers!$G$2:$G$1001,0)</f>
        <v>United States</v>
      </c>
      <c r="I901" t="str">
        <f>INDEX(products!$A$1:$G$49,MATCH(orders!$D901,products!$A$1:$A$49,0),MATCH($I$1,products!$A$1:$G$1,0))</f>
        <v>Lib</v>
      </c>
      <c r="J901" t="str">
        <f>INDEX(products!$A$1:$G$49,MATCH(orders!$D901,products!$A$1:$A$49,0),MATCH($J$1,products!$A$1:$G$1,0))</f>
        <v>M</v>
      </c>
      <c r="K901" s="1">
        <f>INDEX(products!$A$1:$G$49,MATCH(orders!$D901,products!$A$1:$A$49,0),MATCH($K$1,products!$A$1:$G$1,0))</f>
        <v>1</v>
      </c>
      <c r="L901">
        <f>INDEX(products!$A$1:$G$49,MATCH(orders!$D901,products!$A$1:$A$49,0),MATCH($L$1,products!$A$1:$G$1,0))</f>
        <v>14.55</v>
      </c>
      <c r="M901">
        <f t="shared" si="43"/>
        <v>72.75</v>
      </c>
      <c r="N901" t="str">
        <f t="shared" si="44"/>
        <v>Liberica</v>
      </c>
      <c r="O901" t="str">
        <f t="shared" si="45"/>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_xlfn.XLOOKUP(C902,customers!$A$2:$A$1001,customers!$B$2:$B$1001,0)</f>
        <v>Skelly Dolohunty</v>
      </c>
      <c r="G902" s="2">
        <f>_xlfn.XLOOKUP(C902,customers!$A$2:$A$1001,customers!$C$2:$C$1001,0)</f>
        <v>0</v>
      </c>
      <c r="H902" s="2" t="str">
        <f>_xlfn.XLOOKUP(orders!C902,customers!$A$2:$A$1001,customers!$G$2:$G$1001,0)</f>
        <v>Ireland</v>
      </c>
      <c r="I902" t="str">
        <f>INDEX(products!$A$1:$G$49,MATCH(orders!$D902,products!$A$1:$A$49,0),MATCH($I$1,products!$A$1:$G$1,0))</f>
        <v>Lib</v>
      </c>
      <c r="J902" t="str">
        <f>INDEX(products!$A$1:$G$49,MATCH(orders!$D902,products!$A$1:$A$49,0),MATCH($J$1,products!$A$1:$G$1,0))</f>
        <v>L</v>
      </c>
      <c r="K902" s="1">
        <f>INDEX(products!$A$1:$G$49,MATCH(orders!$D902,products!$A$1:$A$49,0),MATCH($K$1,products!$A$1:$G$1,0))</f>
        <v>1</v>
      </c>
      <c r="L902">
        <f>INDEX(products!$A$1:$G$49,MATCH(orders!$D902,products!$A$1:$A$49,0),MATCH($L$1,products!$A$1:$G$1,0))</f>
        <v>15.85</v>
      </c>
      <c r="M902">
        <f t="shared" si="43"/>
        <v>47.55</v>
      </c>
      <c r="N902" t="str">
        <f t="shared" si="44"/>
        <v>Liberica</v>
      </c>
      <c r="O902" t="str">
        <f t="shared" si="45"/>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_xlfn.XLOOKUP(C903,customers!$A$2:$A$1001,customers!$B$2:$B$1001,0)</f>
        <v>Drake Jevon</v>
      </c>
      <c r="G903" s="2" t="str">
        <f>_xlfn.XLOOKUP(C903,customers!$A$2:$A$1001,customers!$C$2:$C$1001,0)</f>
        <v>djevonp1@ibm.com</v>
      </c>
      <c r="H903" s="2" t="str">
        <f>_xlfn.XLOOKUP(orders!C903,customers!$A$2:$A$1001,customers!$G$2:$G$1001,0)</f>
        <v>United States</v>
      </c>
      <c r="I903" t="str">
        <f>INDEX(products!$A$1:$G$49,MATCH(orders!$D903,products!$A$1:$A$49,0),MATCH($I$1,products!$A$1:$G$1,0))</f>
        <v>Rob</v>
      </c>
      <c r="J903" t="str">
        <f>INDEX(products!$A$1:$G$49,MATCH(orders!$D903,products!$A$1:$A$49,0),MATCH($J$1,products!$A$1:$G$1,0))</f>
        <v>L</v>
      </c>
      <c r="K903" s="1">
        <f>INDEX(products!$A$1:$G$49,MATCH(orders!$D903,products!$A$1:$A$49,0),MATCH($K$1,products!$A$1:$G$1,0))</f>
        <v>0.2</v>
      </c>
      <c r="L903">
        <f>INDEX(products!$A$1:$G$49,MATCH(orders!$D903,products!$A$1:$A$49,0),MATCH($L$1,products!$A$1:$G$1,0))</f>
        <v>3.5849999999999995</v>
      </c>
      <c r="M903">
        <f t="shared" si="43"/>
        <v>3.5849999999999995</v>
      </c>
      <c r="N903" t="str">
        <f t="shared" si="44"/>
        <v>Robusta</v>
      </c>
      <c r="O903" t="str">
        <f t="shared" si="45"/>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_xlfn.XLOOKUP(C904,customers!$A$2:$A$1001,customers!$B$2:$B$1001,0)</f>
        <v>Hall Ranner</v>
      </c>
      <c r="G904" s="2" t="str">
        <f>_xlfn.XLOOKUP(C904,customers!$A$2:$A$1001,customers!$C$2:$C$1001,0)</f>
        <v>hrannerp2@omniture.com</v>
      </c>
      <c r="H904" s="2" t="str">
        <f>_xlfn.XLOOKUP(orders!C904,customers!$A$2:$A$1001,customers!$G$2:$G$1001,0)</f>
        <v>United States</v>
      </c>
      <c r="I904" t="str">
        <f>INDEX(products!$A$1:$G$49,MATCH(orders!$D904,products!$A$1:$A$49,0),MATCH($I$1,products!$A$1:$G$1,0))</f>
        <v>Exc</v>
      </c>
      <c r="J904" t="str">
        <f>INDEX(products!$A$1:$G$49,MATCH(orders!$D904,products!$A$1:$A$49,0),MATCH($J$1,products!$A$1:$G$1,0))</f>
        <v>M</v>
      </c>
      <c r="K904" s="1">
        <f>INDEX(products!$A$1:$G$49,MATCH(orders!$D904,products!$A$1:$A$49,0),MATCH($K$1,products!$A$1:$G$1,0))</f>
        <v>2.5</v>
      </c>
      <c r="L904">
        <f>INDEX(products!$A$1:$G$49,MATCH(orders!$D904,products!$A$1:$A$49,0),MATCH($L$1,products!$A$1:$G$1,0))</f>
        <v>31.624999999999996</v>
      </c>
      <c r="M904">
        <f t="shared" si="43"/>
        <v>158.12499999999997</v>
      </c>
      <c r="N904" t="str">
        <f t="shared" si="44"/>
        <v>Excelsa</v>
      </c>
      <c r="O904" t="str">
        <f t="shared" si="45"/>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_xlfn.XLOOKUP(C905,customers!$A$2:$A$1001,customers!$B$2:$B$1001,0)</f>
        <v>Berkly Imrie</v>
      </c>
      <c r="G905" s="2" t="str">
        <f>_xlfn.XLOOKUP(C905,customers!$A$2:$A$1001,customers!$C$2:$C$1001,0)</f>
        <v>bimriep3@addtoany.com</v>
      </c>
      <c r="H905" s="2" t="str">
        <f>_xlfn.XLOOKUP(orders!C905,customers!$A$2:$A$1001,customers!$G$2:$G$1001,0)</f>
        <v>United States</v>
      </c>
      <c r="I905" t="str">
        <f>INDEX(products!$A$1:$G$49,MATCH(orders!$D905,products!$A$1:$A$49,0),MATCH($I$1,products!$A$1:$G$1,0))</f>
        <v>Lib</v>
      </c>
      <c r="J905" t="str">
        <f>INDEX(products!$A$1:$G$49,MATCH(orders!$D905,products!$A$1:$A$49,0),MATCH($J$1,products!$A$1:$G$1,0))</f>
        <v>M</v>
      </c>
      <c r="K905" s="1">
        <f>INDEX(products!$A$1:$G$49,MATCH(orders!$D905,products!$A$1:$A$49,0),MATCH($K$1,products!$A$1:$G$1,0))</f>
        <v>0.5</v>
      </c>
      <c r="L905">
        <f>INDEX(products!$A$1:$G$49,MATCH(orders!$D905,products!$A$1:$A$49,0),MATCH($L$1,products!$A$1:$G$1,0))</f>
        <v>8.73</v>
      </c>
      <c r="M905">
        <f t="shared" si="43"/>
        <v>17.46</v>
      </c>
      <c r="N905" t="str">
        <f t="shared" si="44"/>
        <v>Liberica</v>
      </c>
      <c r="O905" t="str">
        <f t="shared" si="45"/>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_xlfn.XLOOKUP(C906,customers!$A$2:$A$1001,customers!$B$2:$B$1001,0)</f>
        <v>Dorey Sopper</v>
      </c>
      <c r="G906" s="2" t="str">
        <f>_xlfn.XLOOKUP(C906,customers!$A$2:$A$1001,customers!$C$2:$C$1001,0)</f>
        <v>dsopperp4@eventbrite.com</v>
      </c>
      <c r="H906" s="2" t="str">
        <f>_xlfn.XLOOKUP(orders!C906,customers!$A$2:$A$1001,customers!$G$2:$G$1001,0)</f>
        <v>United States</v>
      </c>
      <c r="I906" t="str">
        <f>INDEX(products!$A$1:$G$49,MATCH(orders!$D906,products!$A$1:$A$49,0),MATCH($I$1,products!$A$1:$G$1,0))</f>
        <v>Ara</v>
      </c>
      <c r="J906" t="str">
        <f>INDEX(products!$A$1:$G$49,MATCH(orders!$D906,products!$A$1:$A$49,0),MATCH($J$1,products!$A$1:$G$1,0))</f>
        <v>L</v>
      </c>
      <c r="K906" s="1">
        <f>INDEX(products!$A$1:$G$49,MATCH(orders!$D906,products!$A$1:$A$49,0),MATCH($K$1,products!$A$1:$G$1,0))</f>
        <v>2.5</v>
      </c>
      <c r="L906">
        <f>INDEX(products!$A$1:$G$49,MATCH(orders!$D906,products!$A$1:$A$49,0),MATCH($L$1,products!$A$1:$G$1,0))</f>
        <v>29.784999999999997</v>
      </c>
      <c r="M906">
        <f t="shared" si="43"/>
        <v>148.92499999999998</v>
      </c>
      <c r="N906" t="str">
        <f t="shared" si="44"/>
        <v>Arabica</v>
      </c>
      <c r="O906" t="str">
        <f t="shared" si="45"/>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_xlfn.XLOOKUP(C907,customers!$A$2:$A$1001,customers!$B$2:$B$1001,0)</f>
        <v>Darcy Lochran</v>
      </c>
      <c r="G907" s="2">
        <f>_xlfn.XLOOKUP(C907,customers!$A$2:$A$1001,customers!$C$2:$C$1001,0)</f>
        <v>0</v>
      </c>
      <c r="H907" s="2" t="str">
        <f>_xlfn.XLOOKUP(orders!C907,customers!$A$2:$A$1001,customers!$G$2:$G$1001,0)</f>
        <v>United States</v>
      </c>
      <c r="I907" t="str">
        <f>INDEX(products!$A$1:$G$49,MATCH(orders!$D907,products!$A$1:$A$49,0),MATCH($I$1,products!$A$1:$G$1,0))</f>
        <v>Ara</v>
      </c>
      <c r="J907" t="str">
        <f>INDEX(products!$A$1:$G$49,MATCH(orders!$D907,products!$A$1:$A$49,0),MATCH($J$1,products!$A$1:$G$1,0))</f>
        <v>M</v>
      </c>
      <c r="K907" s="1">
        <f>INDEX(products!$A$1:$G$49,MATCH(orders!$D907,products!$A$1:$A$49,0),MATCH($K$1,products!$A$1:$G$1,0))</f>
        <v>0.5</v>
      </c>
      <c r="L907">
        <f>INDEX(products!$A$1:$G$49,MATCH(orders!$D907,products!$A$1:$A$49,0),MATCH($L$1,products!$A$1:$G$1,0))</f>
        <v>6.75</v>
      </c>
      <c r="M907">
        <f t="shared" si="43"/>
        <v>40.5</v>
      </c>
      <c r="N907" t="str">
        <f t="shared" si="44"/>
        <v>Arabica</v>
      </c>
      <c r="O907" t="str">
        <f t="shared" si="45"/>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_xlfn.XLOOKUP(C908,customers!$A$2:$A$1001,customers!$B$2:$B$1001,0)</f>
        <v>Lauritz Ledgley</v>
      </c>
      <c r="G908" s="2" t="str">
        <f>_xlfn.XLOOKUP(C908,customers!$A$2:$A$1001,customers!$C$2:$C$1001,0)</f>
        <v>lledgleyp6@de.vu</v>
      </c>
      <c r="H908" s="2" t="str">
        <f>_xlfn.XLOOKUP(orders!C908,customers!$A$2:$A$1001,customers!$G$2:$G$1001,0)</f>
        <v>United States</v>
      </c>
      <c r="I908" t="str">
        <f>INDEX(products!$A$1:$G$49,MATCH(orders!$D908,products!$A$1:$A$49,0),MATCH($I$1,products!$A$1:$G$1,0))</f>
        <v>Ara</v>
      </c>
      <c r="J908" t="str">
        <f>INDEX(products!$A$1:$G$49,MATCH(orders!$D908,products!$A$1:$A$49,0),MATCH($J$1,products!$A$1:$G$1,0))</f>
        <v>M</v>
      </c>
      <c r="K908" s="1">
        <f>INDEX(products!$A$1:$G$49,MATCH(orders!$D908,products!$A$1:$A$49,0),MATCH($K$1,products!$A$1:$G$1,0))</f>
        <v>0.5</v>
      </c>
      <c r="L908">
        <f>INDEX(products!$A$1:$G$49,MATCH(orders!$D908,products!$A$1:$A$49,0),MATCH($L$1,products!$A$1:$G$1,0))</f>
        <v>6.75</v>
      </c>
      <c r="M908">
        <f t="shared" si="43"/>
        <v>27</v>
      </c>
      <c r="N908" t="str">
        <f t="shared" si="44"/>
        <v>Arabica</v>
      </c>
      <c r="O908" t="str">
        <f t="shared" si="45"/>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_xlfn.XLOOKUP(C909,customers!$A$2:$A$1001,customers!$B$2:$B$1001,0)</f>
        <v>Tawnya Menary</v>
      </c>
      <c r="G909" s="2" t="str">
        <f>_xlfn.XLOOKUP(C909,customers!$A$2:$A$1001,customers!$C$2:$C$1001,0)</f>
        <v>tmenaryp7@phoca.cz</v>
      </c>
      <c r="H909" s="2" t="str">
        <f>_xlfn.XLOOKUP(orders!C909,customers!$A$2:$A$1001,customers!$G$2:$G$1001,0)</f>
        <v>United States</v>
      </c>
      <c r="I909" t="str">
        <f>INDEX(products!$A$1:$G$49,MATCH(orders!$D909,products!$A$1:$A$49,0),MATCH($I$1,products!$A$1:$G$1,0))</f>
        <v>Lib</v>
      </c>
      <c r="J909" t="str">
        <f>INDEX(products!$A$1:$G$49,MATCH(orders!$D909,products!$A$1:$A$49,0),MATCH($J$1,products!$A$1:$G$1,0))</f>
        <v>D</v>
      </c>
      <c r="K909" s="1">
        <f>INDEX(products!$A$1:$G$49,MATCH(orders!$D909,products!$A$1:$A$49,0),MATCH($K$1,products!$A$1:$G$1,0))</f>
        <v>1</v>
      </c>
      <c r="L909">
        <f>INDEX(products!$A$1:$G$49,MATCH(orders!$D909,products!$A$1:$A$49,0),MATCH($L$1,products!$A$1:$G$1,0))</f>
        <v>12.95</v>
      </c>
      <c r="M909">
        <f t="shared" si="43"/>
        <v>38.849999999999994</v>
      </c>
      <c r="N909" t="str">
        <f t="shared" si="44"/>
        <v>Liberica</v>
      </c>
      <c r="O909" t="str">
        <f t="shared" si="45"/>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_xlfn.XLOOKUP(C910,customers!$A$2:$A$1001,customers!$B$2:$B$1001,0)</f>
        <v>Gustaf Ciccotti</v>
      </c>
      <c r="G910" s="2" t="str">
        <f>_xlfn.XLOOKUP(C910,customers!$A$2:$A$1001,customers!$C$2:$C$1001,0)</f>
        <v>gciccottip8@so-net.ne.jp</v>
      </c>
      <c r="H910" s="2" t="str">
        <f>_xlfn.XLOOKUP(orders!C910,customers!$A$2:$A$1001,customers!$G$2:$G$1001,0)</f>
        <v>United States</v>
      </c>
      <c r="I910" t="str">
        <f>INDEX(products!$A$1:$G$49,MATCH(orders!$D910,products!$A$1:$A$49,0),MATCH($I$1,products!$A$1:$G$1,0))</f>
        <v>Rob</v>
      </c>
      <c r="J910" t="str">
        <f>INDEX(products!$A$1:$G$49,MATCH(orders!$D910,products!$A$1:$A$49,0),MATCH($J$1,products!$A$1:$G$1,0))</f>
        <v>L</v>
      </c>
      <c r="K910" s="1">
        <f>INDEX(products!$A$1:$G$49,MATCH(orders!$D910,products!$A$1:$A$49,0),MATCH($K$1,products!$A$1:$G$1,0))</f>
        <v>1</v>
      </c>
      <c r="L910">
        <f>INDEX(products!$A$1:$G$49,MATCH(orders!$D910,products!$A$1:$A$49,0),MATCH($L$1,products!$A$1:$G$1,0))</f>
        <v>11.95</v>
      </c>
      <c r="M910">
        <f t="shared" si="43"/>
        <v>59.75</v>
      </c>
      <c r="N910" t="str">
        <f t="shared" si="44"/>
        <v>Robusta</v>
      </c>
      <c r="O910" t="str">
        <f t="shared" si="45"/>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_xlfn.XLOOKUP(C911,customers!$A$2:$A$1001,customers!$B$2:$B$1001,0)</f>
        <v>Bobbe Renner</v>
      </c>
      <c r="G911" s="2">
        <f>_xlfn.XLOOKUP(C911,customers!$A$2:$A$1001,customers!$C$2:$C$1001,0)</f>
        <v>0</v>
      </c>
      <c r="H911" s="2" t="str">
        <f>_xlfn.XLOOKUP(orders!C911,customers!$A$2:$A$1001,customers!$G$2:$G$1001,0)</f>
        <v>United States</v>
      </c>
      <c r="I911" t="str">
        <f>INDEX(products!$A$1:$G$49,MATCH(orders!$D911,products!$A$1:$A$49,0),MATCH($I$1,products!$A$1:$G$1,0))</f>
        <v>Rob</v>
      </c>
      <c r="J911" t="str">
        <f>INDEX(products!$A$1:$G$49,MATCH(orders!$D911,products!$A$1:$A$49,0),MATCH($J$1,products!$A$1:$G$1,0))</f>
        <v>L</v>
      </c>
      <c r="K911" s="1">
        <f>INDEX(products!$A$1:$G$49,MATCH(orders!$D911,products!$A$1:$A$49,0),MATCH($K$1,products!$A$1:$G$1,0))</f>
        <v>0.2</v>
      </c>
      <c r="L911">
        <f>INDEX(products!$A$1:$G$49,MATCH(orders!$D911,products!$A$1:$A$49,0),MATCH($L$1,products!$A$1:$G$1,0))</f>
        <v>3.5849999999999995</v>
      </c>
      <c r="M911">
        <f t="shared" si="43"/>
        <v>10.754999999999999</v>
      </c>
      <c r="N911" t="str">
        <f t="shared" si="44"/>
        <v>Robusta</v>
      </c>
      <c r="O911" t="str">
        <f t="shared" si="45"/>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_xlfn.XLOOKUP(C912,customers!$A$2:$A$1001,customers!$B$2:$B$1001,0)</f>
        <v>Wilton Jallin</v>
      </c>
      <c r="G912" s="2" t="str">
        <f>_xlfn.XLOOKUP(C912,customers!$A$2:$A$1001,customers!$C$2:$C$1001,0)</f>
        <v>wjallinpa@pcworld.com</v>
      </c>
      <c r="H912" s="2" t="str">
        <f>_xlfn.XLOOKUP(orders!C912,customers!$A$2:$A$1001,customers!$G$2:$G$1001,0)</f>
        <v>United States</v>
      </c>
      <c r="I912" t="str">
        <f>INDEX(products!$A$1:$G$49,MATCH(orders!$D912,products!$A$1:$A$49,0),MATCH($I$1,products!$A$1:$G$1,0))</f>
        <v>Ara</v>
      </c>
      <c r="J912" t="str">
        <f>INDEX(products!$A$1:$G$49,MATCH(orders!$D912,products!$A$1:$A$49,0),MATCH($J$1,products!$A$1:$G$1,0))</f>
        <v>D</v>
      </c>
      <c r="K912" s="1">
        <f>INDEX(products!$A$1:$G$49,MATCH(orders!$D912,products!$A$1:$A$49,0),MATCH($K$1,products!$A$1:$G$1,0))</f>
        <v>2.5</v>
      </c>
      <c r="L912">
        <f>INDEX(products!$A$1:$G$49,MATCH(orders!$D912,products!$A$1:$A$49,0),MATCH($L$1,products!$A$1:$G$1,0))</f>
        <v>22.884999999999998</v>
      </c>
      <c r="M912">
        <f t="shared" si="43"/>
        <v>91.539999999999992</v>
      </c>
      <c r="N912" t="str">
        <f t="shared" si="44"/>
        <v>Arabica</v>
      </c>
      <c r="O912" t="str">
        <f t="shared" si="45"/>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_xlfn.XLOOKUP(C913,customers!$A$2:$A$1001,customers!$B$2:$B$1001,0)</f>
        <v>Mindy Bogey</v>
      </c>
      <c r="G913" s="2" t="str">
        <f>_xlfn.XLOOKUP(C913,customers!$A$2:$A$1001,customers!$C$2:$C$1001,0)</f>
        <v>mbogeypb@thetimes.co.uk</v>
      </c>
      <c r="H913" s="2" t="str">
        <f>_xlfn.XLOOKUP(orders!C913,customers!$A$2:$A$1001,customers!$G$2:$G$1001,0)</f>
        <v>United States</v>
      </c>
      <c r="I913" t="str">
        <f>INDEX(products!$A$1:$G$49,MATCH(orders!$D913,products!$A$1:$A$49,0),MATCH($I$1,products!$A$1:$G$1,0))</f>
        <v>Ara</v>
      </c>
      <c r="J913" t="str">
        <f>INDEX(products!$A$1:$G$49,MATCH(orders!$D913,products!$A$1:$A$49,0),MATCH($J$1,products!$A$1:$G$1,0))</f>
        <v>M</v>
      </c>
      <c r="K913" s="1">
        <f>INDEX(products!$A$1:$G$49,MATCH(orders!$D913,products!$A$1:$A$49,0),MATCH($K$1,products!$A$1:$G$1,0))</f>
        <v>1</v>
      </c>
      <c r="L913">
        <f>INDEX(products!$A$1:$G$49,MATCH(orders!$D913,products!$A$1:$A$49,0),MATCH($L$1,products!$A$1:$G$1,0))</f>
        <v>11.25</v>
      </c>
      <c r="M913">
        <f t="shared" si="43"/>
        <v>45</v>
      </c>
      <c r="N913" t="str">
        <f t="shared" si="44"/>
        <v>Arabica</v>
      </c>
      <c r="O913" t="str">
        <f t="shared" si="45"/>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_xlfn.XLOOKUP(C914,customers!$A$2:$A$1001,customers!$B$2:$B$1001,0)</f>
        <v>Paulie Fonzone</v>
      </c>
      <c r="G914" s="2">
        <f>_xlfn.XLOOKUP(C914,customers!$A$2:$A$1001,customers!$C$2:$C$1001,0)</f>
        <v>0</v>
      </c>
      <c r="H914" s="2" t="str">
        <f>_xlfn.XLOOKUP(orders!C914,customers!$A$2:$A$1001,customers!$G$2:$G$1001,0)</f>
        <v>United States</v>
      </c>
      <c r="I914" t="str">
        <f>INDEX(products!$A$1:$G$49,MATCH(orders!$D914,products!$A$1:$A$49,0),MATCH($I$1,products!$A$1:$G$1,0))</f>
        <v>Rob</v>
      </c>
      <c r="J914" t="str">
        <f>INDEX(products!$A$1:$G$49,MATCH(orders!$D914,products!$A$1:$A$49,0),MATCH($J$1,products!$A$1:$G$1,0))</f>
        <v>M</v>
      </c>
      <c r="K914" s="1">
        <f>INDEX(products!$A$1:$G$49,MATCH(orders!$D914,products!$A$1:$A$49,0),MATCH($K$1,products!$A$1:$G$1,0))</f>
        <v>2.5</v>
      </c>
      <c r="L914">
        <f>INDEX(products!$A$1:$G$49,MATCH(orders!$D914,products!$A$1:$A$49,0),MATCH($L$1,products!$A$1:$G$1,0))</f>
        <v>22.884999999999998</v>
      </c>
      <c r="M914">
        <f t="shared" si="43"/>
        <v>137.31</v>
      </c>
      <c r="N914" t="str">
        <f t="shared" si="44"/>
        <v>Robusta</v>
      </c>
      <c r="O914" t="str">
        <f t="shared" si="45"/>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_xlfn.XLOOKUP(C915,customers!$A$2:$A$1001,customers!$B$2:$B$1001,0)</f>
        <v>Merrile Cobbledick</v>
      </c>
      <c r="G915" s="2" t="str">
        <f>_xlfn.XLOOKUP(C915,customers!$A$2:$A$1001,customers!$C$2:$C$1001,0)</f>
        <v>mcobbledickpd@ucsd.edu</v>
      </c>
      <c r="H915" s="2" t="str">
        <f>_xlfn.XLOOKUP(orders!C915,customers!$A$2:$A$1001,customers!$G$2:$G$1001,0)</f>
        <v>United States</v>
      </c>
      <c r="I915" t="str">
        <f>INDEX(products!$A$1:$G$49,MATCH(orders!$D915,products!$A$1:$A$49,0),MATCH($I$1,products!$A$1:$G$1,0))</f>
        <v>Ara</v>
      </c>
      <c r="J915" t="str">
        <f>INDEX(products!$A$1:$G$49,MATCH(orders!$D915,products!$A$1:$A$49,0),MATCH($J$1,products!$A$1:$G$1,0))</f>
        <v>M</v>
      </c>
      <c r="K915" s="1">
        <f>INDEX(products!$A$1:$G$49,MATCH(orders!$D915,products!$A$1:$A$49,0),MATCH($K$1,products!$A$1:$G$1,0))</f>
        <v>0.5</v>
      </c>
      <c r="L915">
        <f>INDEX(products!$A$1:$G$49,MATCH(orders!$D915,products!$A$1:$A$49,0),MATCH($L$1,products!$A$1:$G$1,0))</f>
        <v>6.75</v>
      </c>
      <c r="M915">
        <f t="shared" si="43"/>
        <v>6.75</v>
      </c>
      <c r="N915" t="str">
        <f t="shared" si="44"/>
        <v>Arabica</v>
      </c>
      <c r="O915" t="str">
        <f t="shared" si="45"/>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_xlfn.XLOOKUP(C916,customers!$A$2:$A$1001,customers!$B$2:$B$1001,0)</f>
        <v>Antonius Lewry</v>
      </c>
      <c r="G916" s="2" t="str">
        <f>_xlfn.XLOOKUP(C916,customers!$A$2:$A$1001,customers!$C$2:$C$1001,0)</f>
        <v>alewrype@whitehouse.gov</v>
      </c>
      <c r="H916" s="2" t="str">
        <f>_xlfn.XLOOKUP(orders!C916,customers!$A$2:$A$1001,customers!$G$2:$G$1001,0)</f>
        <v>United States</v>
      </c>
      <c r="I916" t="str">
        <f>INDEX(products!$A$1:$G$49,MATCH(orders!$D916,products!$A$1:$A$49,0),MATCH($I$1,products!$A$1:$G$1,0))</f>
        <v>Ara</v>
      </c>
      <c r="J916" t="str">
        <f>INDEX(products!$A$1:$G$49,MATCH(orders!$D916,products!$A$1:$A$49,0),MATCH($J$1,products!$A$1:$G$1,0))</f>
        <v>M</v>
      </c>
      <c r="K916" s="1">
        <f>INDEX(products!$A$1:$G$49,MATCH(orders!$D916,products!$A$1:$A$49,0),MATCH($K$1,products!$A$1:$G$1,0))</f>
        <v>1</v>
      </c>
      <c r="L916">
        <f>INDEX(products!$A$1:$G$49,MATCH(orders!$D916,products!$A$1:$A$49,0),MATCH($L$1,products!$A$1:$G$1,0))</f>
        <v>11.25</v>
      </c>
      <c r="M916">
        <f t="shared" si="43"/>
        <v>45</v>
      </c>
      <c r="N916" t="str">
        <f t="shared" si="44"/>
        <v>Arabica</v>
      </c>
      <c r="O916" t="str">
        <f t="shared" si="45"/>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_xlfn.XLOOKUP(C917,customers!$A$2:$A$1001,customers!$B$2:$B$1001,0)</f>
        <v>Isis Hessel</v>
      </c>
      <c r="G917" s="2" t="str">
        <f>_xlfn.XLOOKUP(C917,customers!$A$2:$A$1001,customers!$C$2:$C$1001,0)</f>
        <v>ihesselpf@ox.ac.uk</v>
      </c>
      <c r="H917" s="2" t="str">
        <f>_xlfn.XLOOKUP(orders!C917,customers!$A$2:$A$1001,customers!$G$2:$G$1001,0)</f>
        <v>United States</v>
      </c>
      <c r="I917" t="str">
        <f>INDEX(products!$A$1:$G$49,MATCH(orders!$D917,products!$A$1:$A$49,0),MATCH($I$1,products!$A$1:$G$1,0))</f>
        <v>Exc</v>
      </c>
      <c r="J917" t="str">
        <f>INDEX(products!$A$1:$G$49,MATCH(orders!$D917,products!$A$1:$A$49,0),MATCH($J$1,products!$A$1:$G$1,0))</f>
        <v>D</v>
      </c>
      <c r="K917" s="1">
        <f>INDEX(products!$A$1:$G$49,MATCH(orders!$D917,products!$A$1:$A$49,0),MATCH($K$1,products!$A$1:$G$1,0))</f>
        <v>2.5</v>
      </c>
      <c r="L917">
        <f>INDEX(products!$A$1:$G$49,MATCH(orders!$D917,products!$A$1:$A$49,0),MATCH($L$1,products!$A$1:$G$1,0))</f>
        <v>27.945</v>
      </c>
      <c r="M917">
        <f t="shared" si="43"/>
        <v>83.835000000000008</v>
      </c>
      <c r="N917" t="str">
        <f t="shared" si="44"/>
        <v>Excelsa</v>
      </c>
      <c r="O917" t="str">
        <f t="shared" si="45"/>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_xlfn.XLOOKUP(C918,customers!$A$2:$A$1001,customers!$B$2:$B$1001,0)</f>
        <v>Harland Trematick</v>
      </c>
      <c r="G918" s="2">
        <f>_xlfn.XLOOKUP(C918,customers!$A$2:$A$1001,customers!$C$2:$C$1001,0)</f>
        <v>0</v>
      </c>
      <c r="H918" s="2" t="str">
        <f>_xlfn.XLOOKUP(orders!C918,customers!$A$2:$A$1001,customers!$G$2:$G$1001,0)</f>
        <v>Ireland</v>
      </c>
      <c r="I918" t="str">
        <f>INDEX(products!$A$1:$G$49,MATCH(orders!$D918,products!$A$1:$A$49,0),MATCH($I$1,products!$A$1:$G$1,0))</f>
        <v>Exc</v>
      </c>
      <c r="J918" t="str">
        <f>INDEX(products!$A$1:$G$49,MATCH(orders!$D918,products!$A$1:$A$49,0),MATCH($J$1,products!$A$1:$G$1,0))</f>
        <v>D</v>
      </c>
      <c r="K918" s="1">
        <f>INDEX(products!$A$1:$G$49,MATCH(orders!$D918,products!$A$1:$A$49,0),MATCH($K$1,products!$A$1:$G$1,0))</f>
        <v>0.2</v>
      </c>
      <c r="L918">
        <f>INDEX(products!$A$1:$G$49,MATCH(orders!$D918,products!$A$1:$A$49,0),MATCH($L$1,products!$A$1:$G$1,0))</f>
        <v>3.645</v>
      </c>
      <c r="M918">
        <f t="shared" si="43"/>
        <v>3.645</v>
      </c>
      <c r="N918" t="str">
        <f t="shared" si="44"/>
        <v>Excelsa</v>
      </c>
      <c r="O918" t="str">
        <f t="shared" si="45"/>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_xlfn.XLOOKUP(C919,customers!$A$2:$A$1001,customers!$B$2:$B$1001,0)</f>
        <v>Chloris Sorrell</v>
      </c>
      <c r="G919" s="2" t="str">
        <f>_xlfn.XLOOKUP(C919,customers!$A$2:$A$1001,customers!$C$2:$C$1001,0)</f>
        <v>csorrellph@amazon.com</v>
      </c>
      <c r="H919" s="2" t="str">
        <f>_xlfn.XLOOKUP(orders!C919,customers!$A$2:$A$1001,customers!$G$2:$G$1001,0)</f>
        <v>United Kingdom</v>
      </c>
      <c r="I919" t="str">
        <f>INDEX(products!$A$1:$G$49,MATCH(orders!$D919,products!$A$1:$A$49,0),MATCH($I$1,products!$A$1:$G$1,0))</f>
        <v>Ara</v>
      </c>
      <c r="J919" t="str">
        <f>INDEX(products!$A$1:$G$49,MATCH(orders!$D919,products!$A$1:$A$49,0),MATCH($J$1,products!$A$1:$G$1,0))</f>
        <v>M</v>
      </c>
      <c r="K919" s="1">
        <f>INDEX(products!$A$1:$G$49,MATCH(orders!$D919,products!$A$1:$A$49,0),MATCH($K$1,products!$A$1:$G$1,0))</f>
        <v>0.5</v>
      </c>
      <c r="L919">
        <f>INDEX(products!$A$1:$G$49,MATCH(orders!$D919,products!$A$1:$A$49,0),MATCH($L$1,products!$A$1:$G$1,0))</f>
        <v>6.75</v>
      </c>
      <c r="M919">
        <f t="shared" si="43"/>
        <v>6.75</v>
      </c>
      <c r="N919" t="str">
        <f t="shared" si="44"/>
        <v>Arabica</v>
      </c>
      <c r="O919" t="str">
        <f t="shared" si="45"/>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_xlfn.XLOOKUP(C920,customers!$A$2:$A$1001,customers!$B$2:$B$1001,0)</f>
        <v>Chloris Sorrell</v>
      </c>
      <c r="G920" s="2" t="str">
        <f>_xlfn.XLOOKUP(C920,customers!$A$2:$A$1001,customers!$C$2:$C$1001,0)</f>
        <v>csorrellph@amazon.com</v>
      </c>
      <c r="H920" s="2" t="str">
        <f>_xlfn.XLOOKUP(orders!C920,customers!$A$2:$A$1001,customers!$G$2:$G$1001,0)</f>
        <v>United Kingdom</v>
      </c>
      <c r="I920" t="str">
        <f>INDEX(products!$A$1:$G$49,MATCH(orders!$D920,products!$A$1:$A$49,0),MATCH($I$1,products!$A$1:$G$1,0))</f>
        <v>Exc</v>
      </c>
      <c r="J920" t="str">
        <f>INDEX(products!$A$1:$G$49,MATCH(orders!$D920,products!$A$1:$A$49,0),MATCH($J$1,products!$A$1:$G$1,0))</f>
        <v>D</v>
      </c>
      <c r="K920" s="1">
        <f>INDEX(products!$A$1:$G$49,MATCH(orders!$D920,products!$A$1:$A$49,0),MATCH($K$1,products!$A$1:$G$1,0))</f>
        <v>0.5</v>
      </c>
      <c r="L920">
        <f>INDEX(products!$A$1:$G$49,MATCH(orders!$D920,products!$A$1:$A$49,0),MATCH($L$1,products!$A$1:$G$1,0))</f>
        <v>7.29</v>
      </c>
      <c r="M920">
        <f t="shared" si="43"/>
        <v>21.87</v>
      </c>
      <c r="N920" t="str">
        <f t="shared" si="44"/>
        <v>Excelsa</v>
      </c>
      <c r="O920" t="str">
        <f t="shared" si="45"/>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_xlfn.XLOOKUP(C921,customers!$A$2:$A$1001,customers!$B$2:$B$1001,0)</f>
        <v>Quintina Heavyside</v>
      </c>
      <c r="G921" s="2" t="str">
        <f>_xlfn.XLOOKUP(C921,customers!$A$2:$A$1001,customers!$C$2:$C$1001,0)</f>
        <v>qheavysidepj@unc.edu</v>
      </c>
      <c r="H921" s="2" t="str">
        <f>_xlfn.XLOOKUP(orders!C921,customers!$A$2:$A$1001,customers!$G$2:$G$1001,0)</f>
        <v>United States</v>
      </c>
      <c r="I921" t="str">
        <f>INDEX(products!$A$1:$G$49,MATCH(orders!$D921,products!$A$1:$A$49,0),MATCH($I$1,products!$A$1:$G$1,0))</f>
        <v>Rob</v>
      </c>
      <c r="J921" t="str">
        <f>INDEX(products!$A$1:$G$49,MATCH(orders!$D921,products!$A$1:$A$49,0),MATCH($J$1,products!$A$1:$G$1,0))</f>
        <v>D</v>
      </c>
      <c r="K921" s="1">
        <f>INDEX(products!$A$1:$G$49,MATCH(orders!$D921,products!$A$1:$A$49,0),MATCH($K$1,products!$A$1:$G$1,0))</f>
        <v>0.2</v>
      </c>
      <c r="L921">
        <f>INDEX(products!$A$1:$G$49,MATCH(orders!$D921,products!$A$1:$A$49,0),MATCH($L$1,products!$A$1:$G$1,0))</f>
        <v>2.6849999999999996</v>
      </c>
      <c r="M921">
        <f t="shared" si="43"/>
        <v>13.424999999999997</v>
      </c>
      <c r="N921" t="str">
        <f t="shared" si="44"/>
        <v>Robusta</v>
      </c>
      <c r="O921" t="str">
        <f t="shared" si="45"/>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_xlfn.XLOOKUP(C922,customers!$A$2:$A$1001,customers!$B$2:$B$1001,0)</f>
        <v>Hadley Reuven</v>
      </c>
      <c r="G922" s="2" t="str">
        <f>_xlfn.XLOOKUP(C922,customers!$A$2:$A$1001,customers!$C$2:$C$1001,0)</f>
        <v>hreuvenpk@whitehouse.gov</v>
      </c>
      <c r="H922" s="2" t="str">
        <f>_xlfn.XLOOKUP(orders!C922,customers!$A$2:$A$1001,customers!$G$2:$G$1001,0)</f>
        <v>United States</v>
      </c>
      <c r="I922" t="str">
        <f>INDEX(products!$A$1:$G$49,MATCH(orders!$D922,products!$A$1:$A$49,0),MATCH($I$1,products!$A$1:$G$1,0))</f>
        <v>Rob</v>
      </c>
      <c r="J922" t="str">
        <f>INDEX(products!$A$1:$G$49,MATCH(orders!$D922,products!$A$1:$A$49,0),MATCH($J$1,products!$A$1:$G$1,0))</f>
        <v>D</v>
      </c>
      <c r="K922" s="1">
        <f>INDEX(products!$A$1:$G$49,MATCH(orders!$D922,products!$A$1:$A$49,0),MATCH($K$1,products!$A$1:$G$1,0))</f>
        <v>2.5</v>
      </c>
      <c r="L922">
        <f>INDEX(products!$A$1:$G$49,MATCH(orders!$D922,products!$A$1:$A$49,0),MATCH($L$1,products!$A$1:$G$1,0))</f>
        <v>20.584999999999997</v>
      </c>
      <c r="M922">
        <f t="shared" si="43"/>
        <v>123.50999999999999</v>
      </c>
      <c r="N922" t="str">
        <f t="shared" si="44"/>
        <v>Robusta</v>
      </c>
      <c r="O922" t="str">
        <f t="shared" si="45"/>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_xlfn.XLOOKUP(C923,customers!$A$2:$A$1001,customers!$B$2:$B$1001,0)</f>
        <v>Mitch Attwool</v>
      </c>
      <c r="G923" s="2" t="str">
        <f>_xlfn.XLOOKUP(C923,customers!$A$2:$A$1001,customers!$C$2:$C$1001,0)</f>
        <v>mattwoolpl@nba.com</v>
      </c>
      <c r="H923" s="2" t="str">
        <f>_xlfn.XLOOKUP(orders!C923,customers!$A$2:$A$1001,customers!$G$2:$G$1001,0)</f>
        <v>United States</v>
      </c>
      <c r="I923" t="str">
        <f>INDEX(products!$A$1:$G$49,MATCH(orders!$D923,products!$A$1:$A$49,0),MATCH($I$1,products!$A$1:$G$1,0))</f>
        <v>Lib</v>
      </c>
      <c r="J923" t="str">
        <f>INDEX(products!$A$1:$G$49,MATCH(orders!$D923,products!$A$1:$A$49,0),MATCH($J$1,products!$A$1:$G$1,0))</f>
        <v>D</v>
      </c>
      <c r="K923" s="1">
        <f>INDEX(products!$A$1:$G$49,MATCH(orders!$D923,products!$A$1:$A$49,0),MATCH($K$1,products!$A$1:$G$1,0))</f>
        <v>0.2</v>
      </c>
      <c r="L923">
        <f>INDEX(products!$A$1:$G$49,MATCH(orders!$D923,products!$A$1:$A$49,0),MATCH($L$1,products!$A$1:$G$1,0))</f>
        <v>3.8849999999999998</v>
      </c>
      <c r="M923">
        <f t="shared" si="43"/>
        <v>7.77</v>
      </c>
      <c r="N923" t="str">
        <f t="shared" si="44"/>
        <v>Liberica</v>
      </c>
      <c r="O923" t="str">
        <f t="shared" si="45"/>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_xlfn.XLOOKUP(C924,customers!$A$2:$A$1001,customers!$B$2:$B$1001,0)</f>
        <v>Charin Maplethorp</v>
      </c>
      <c r="G924" s="2">
        <f>_xlfn.XLOOKUP(C924,customers!$A$2:$A$1001,customers!$C$2:$C$1001,0)</f>
        <v>0</v>
      </c>
      <c r="H924" s="2" t="str">
        <f>_xlfn.XLOOKUP(orders!C924,customers!$A$2:$A$1001,customers!$G$2:$G$1001,0)</f>
        <v>United States</v>
      </c>
      <c r="I924" t="str">
        <f>INDEX(products!$A$1:$G$49,MATCH(orders!$D924,products!$A$1:$A$49,0),MATCH($I$1,products!$A$1:$G$1,0))</f>
        <v>Ara</v>
      </c>
      <c r="J924" t="str">
        <f>INDEX(products!$A$1:$G$49,MATCH(orders!$D924,products!$A$1:$A$49,0),MATCH($J$1,products!$A$1:$G$1,0))</f>
        <v>M</v>
      </c>
      <c r="K924" s="1">
        <f>INDEX(products!$A$1:$G$49,MATCH(orders!$D924,products!$A$1:$A$49,0),MATCH($K$1,products!$A$1:$G$1,0))</f>
        <v>1</v>
      </c>
      <c r="L924">
        <f>INDEX(products!$A$1:$G$49,MATCH(orders!$D924,products!$A$1:$A$49,0),MATCH($L$1,products!$A$1:$G$1,0))</f>
        <v>11.25</v>
      </c>
      <c r="M924">
        <f t="shared" si="43"/>
        <v>67.5</v>
      </c>
      <c r="N924" t="str">
        <f t="shared" si="44"/>
        <v>Arabica</v>
      </c>
      <c r="O924" t="str">
        <f t="shared" si="45"/>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_xlfn.XLOOKUP(C925,customers!$A$2:$A$1001,customers!$B$2:$B$1001,0)</f>
        <v>Goldie Wynes</v>
      </c>
      <c r="G925" s="2" t="str">
        <f>_xlfn.XLOOKUP(C925,customers!$A$2:$A$1001,customers!$C$2:$C$1001,0)</f>
        <v>gwynespn@dagondesign.com</v>
      </c>
      <c r="H925" s="2" t="str">
        <f>_xlfn.XLOOKUP(orders!C925,customers!$A$2:$A$1001,customers!$G$2:$G$1001,0)</f>
        <v>United States</v>
      </c>
      <c r="I925" t="str">
        <f>INDEX(products!$A$1:$G$49,MATCH(orders!$D925,products!$A$1:$A$49,0),MATCH($I$1,products!$A$1:$G$1,0))</f>
        <v>Exc</v>
      </c>
      <c r="J925" t="str">
        <f>INDEX(products!$A$1:$G$49,MATCH(orders!$D925,products!$A$1:$A$49,0),MATCH($J$1,products!$A$1:$G$1,0))</f>
        <v>D</v>
      </c>
      <c r="K925" s="1">
        <f>INDEX(products!$A$1:$G$49,MATCH(orders!$D925,products!$A$1:$A$49,0),MATCH($K$1,products!$A$1:$G$1,0))</f>
        <v>2.5</v>
      </c>
      <c r="L925">
        <f>INDEX(products!$A$1:$G$49,MATCH(orders!$D925,products!$A$1:$A$49,0),MATCH($L$1,products!$A$1:$G$1,0))</f>
        <v>27.945</v>
      </c>
      <c r="M925">
        <f t="shared" si="43"/>
        <v>27.945</v>
      </c>
      <c r="N925" t="str">
        <f t="shared" si="44"/>
        <v>Excelsa</v>
      </c>
      <c r="O925" t="str">
        <f t="shared" si="45"/>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_xlfn.XLOOKUP(C926,customers!$A$2:$A$1001,customers!$B$2:$B$1001,0)</f>
        <v>Celie MacCourt</v>
      </c>
      <c r="G926" s="2" t="str">
        <f>_xlfn.XLOOKUP(C926,customers!$A$2:$A$1001,customers!$C$2:$C$1001,0)</f>
        <v>cmaccourtpo@amazon.com</v>
      </c>
      <c r="H926" s="2" t="str">
        <f>_xlfn.XLOOKUP(orders!C926,customers!$A$2:$A$1001,customers!$G$2:$G$1001,0)</f>
        <v>United States</v>
      </c>
      <c r="I926" t="str">
        <f>INDEX(products!$A$1:$G$49,MATCH(orders!$D926,products!$A$1:$A$49,0),MATCH($I$1,products!$A$1:$G$1,0))</f>
        <v>Ara</v>
      </c>
      <c r="J926" t="str">
        <f>INDEX(products!$A$1:$G$49,MATCH(orders!$D926,products!$A$1:$A$49,0),MATCH($J$1,products!$A$1:$G$1,0))</f>
        <v>L</v>
      </c>
      <c r="K926" s="1">
        <f>INDEX(products!$A$1:$G$49,MATCH(orders!$D926,products!$A$1:$A$49,0),MATCH($K$1,products!$A$1:$G$1,0))</f>
        <v>2.5</v>
      </c>
      <c r="L926">
        <f>INDEX(products!$A$1:$G$49,MATCH(orders!$D926,products!$A$1:$A$49,0),MATCH($L$1,products!$A$1:$G$1,0))</f>
        <v>29.784999999999997</v>
      </c>
      <c r="M926">
        <f t="shared" si="43"/>
        <v>89.35499999999999</v>
      </c>
      <c r="N926" t="str">
        <f t="shared" si="44"/>
        <v>Arabica</v>
      </c>
      <c r="O926" t="str">
        <f t="shared" si="45"/>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_xlfn.XLOOKUP(C927,customers!$A$2:$A$1001,customers!$B$2:$B$1001,0)</f>
        <v>Derick Snow</v>
      </c>
      <c r="G927" s="2">
        <f>_xlfn.XLOOKUP(C927,customers!$A$2:$A$1001,customers!$C$2:$C$1001,0)</f>
        <v>0</v>
      </c>
      <c r="H927" s="2" t="str">
        <f>_xlfn.XLOOKUP(orders!C927,customers!$A$2:$A$1001,customers!$G$2:$G$1001,0)</f>
        <v>United States</v>
      </c>
      <c r="I927" t="str">
        <f>INDEX(products!$A$1:$G$49,MATCH(orders!$D927,products!$A$1:$A$49,0),MATCH($I$1,products!$A$1:$G$1,0))</f>
        <v>Ara</v>
      </c>
      <c r="J927" t="str">
        <f>INDEX(products!$A$1:$G$49,MATCH(orders!$D927,products!$A$1:$A$49,0),MATCH($J$1,products!$A$1:$G$1,0))</f>
        <v>M</v>
      </c>
      <c r="K927" s="1">
        <f>INDEX(products!$A$1:$G$49,MATCH(orders!$D927,products!$A$1:$A$49,0),MATCH($K$1,products!$A$1:$G$1,0))</f>
        <v>0.5</v>
      </c>
      <c r="L927">
        <f>INDEX(products!$A$1:$G$49,MATCH(orders!$D927,products!$A$1:$A$49,0),MATCH($L$1,products!$A$1:$G$1,0))</f>
        <v>6.75</v>
      </c>
      <c r="M927">
        <f t="shared" si="43"/>
        <v>20.25</v>
      </c>
      <c r="N927" t="str">
        <f t="shared" si="44"/>
        <v>Arabica</v>
      </c>
      <c r="O927" t="str">
        <f t="shared" si="45"/>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_xlfn.XLOOKUP(C928,customers!$A$2:$A$1001,customers!$B$2:$B$1001,0)</f>
        <v>Evy Wilsone</v>
      </c>
      <c r="G928" s="2" t="str">
        <f>_xlfn.XLOOKUP(C928,customers!$A$2:$A$1001,customers!$C$2:$C$1001,0)</f>
        <v>ewilsonepq@eepurl.com</v>
      </c>
      <c r="H928" s="2" t="str">
        <f>_xlfn.XLOOKUP(orders!C928,customers!$A$2:$A$1001,customers!$G$2:$G$1001,0)</f>
        <v>United States</v>
      </c>
      <c r="I928" t="str">
        <f>INDEX(products!$A$1:$G$49,MATCH(orders!$D928,products!$A$1:$A$49,0),MATCH($I$1,products!$A$1:$G$1,0))</f>
        <v>Ara</v>
      </c>
      <c r="J928" t="str">
        <f>INDEX(products!$A$1:$G$49,MATCH(orders!$D928,products!$A$1:$A$49,0),MATCH($J$1,products!$A$1:$G$1,0))</f>
        <v>M</v>
      </c>
      <c r="K928" s="1">
        <f>INDEX(products!$A$1:$G$49,MATCH(orders!$D928,products!$A$1:$A$49,0),MATCH($K$1,products!$A$1:$G$1,0))</f>
        <v>0.5</v>
      </c>
      <c r="L928">
        <f>INDEX(products!$A$1:$G$49,MATCH(orders!$D928,products!$A$1:$A$49,0),MATCH($L$1,products!$A$1:$G$1,0))</f>
        <v>6.75</v>
      </c>
      <c r="M928">
        <f t="shared" si="43"/>
        <v>33.75</v>
      </c>
      <c r="N928" t="str">
        <f t="shared" si="44"/>
        <v>Arabica</v>
      </c>
      <c r="O928" t="str">
        <f t="shared" si="45"/>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_xlfn.XLOOKUP(C929,customers!$A$2:$A$1001,customers!$B$2:$B$1001,0)</f>
        <v>Dolores Duffie</v>
      </c>
      <c r="G929" s="2" t="str">
        <f>_xlfn.XLOOKUP(C929,customers!$A$2:$A$1001,customers!$C$2:$C$1001,0)</f>
        <v>dduffiepr@time.com</v>
      </c>
      <c r="H929" s="2" t="str">
        <f>_xlfn.XLOOKUP(orders!C929,customers!$A$2:$A$1001,customers!$G$2:$G$1001,0)</f>
        <v>United States</v>
      </c>
      <c r="I929" t="str">
        <f>INDEX(products!$A$1:$G$49,MATCH(orders!$D929,products!$A$1:$A$49,0),MATCH($I$1,products!$A$1:$G$1,0))</f>
        <v>Exc</v>
      </c>
      <c r="J929" t="str">
        <f>INDEX(products!$A$1:$G$49,MATCH(orders!$D929,products!$A$1:$A$49,0),MATCH($J$1,products!$A$1:$G$1,0))</f>
        <v>D</v>
      </c>
      <c r="K929" s="1">
        <f>INDEX(products!$A$1:$G$49,MATCH(orders!$D929,products!$A$1:$A$49,0),MATCH($K$1,products!$A$1:$G$1,0))</f>
        <v>2.5</v>
      </c>
      <c r="L929">
        <f>INDEX(products!$A$1:$G$49,MATCH(orders!$D929,products!$A$1:$A$49,0),MATCH($L$1,products!$A$1:$G$1,0))</f>
        <v>27.945</v>
      </c>
      <c r="M929">
        <f t="shared" si="43"/>
        <v>111.78</v>
      </c>
      <c r="N929" t="str">
        <f t="shared" si="44"/>
        <v>Excelsa</v>
      </c>
      <c r="O929" t="str">
        <f t="shared" si="45"/>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_xlfn.XLOOKUP(C930,customers!$A$2:$A$1001,customers!$B$2:$B$1001,0)</f>
        <v>Mathilda Matiasek</v>
      </c>
      <c r="G930" s="2" t="str">
        <f>_xlfn.XLOOKUP(C930,customers!$A$2:$A$1001,customers!$C$2:$C$1001,0)</f>
        <v>mmatiasekps@ucoz.ru</v>
      </c>
      <c r="H930" s="2" t="str">
        <f>_xlfn.XLOOKUP(orders!C930,customers!$A$2:$A$1001,customers!$G$2:$G$1001,0)</f>
        <v>United States</v>
      </c>
      <c r="I930" t="str">
        <f>INDEX(products!$A$1:$G$49,MATCH(orders!$D930,products!$A$1:$A$49,0),MATCH($I$1,products!$A$1:$G$1,0))</f>
        <v>Exc</v>
      </c>
      <c r="J930" t="str">
        <f>INDEX(products!$A$1:$G$49,MATCH(orders!$D930,products!$A$1:$A$49,0),MATCH($J$1,products!$A$1:$G$1,0))</f>
        <v>M</v>
      </c>
      <c r="K930" s="1">
        <f>INDEX(products!$A$1:$G$49,MATCH(orders!$D930,products!$A$1:$A$49,0),MATCH($K$1,products!$A$1:$G$1,0))</f>
        <v>2.5</v>
      </c>
      <c r="L930">
        <f>INDEX(products!$A$1:$G$49,MATCH(orders!$D930,products!$A$1:$A$49,0),MATCH($L$1,products!$A$1:$G$1,0))</f>
        <v>31.624999999999996</v>
      </c>
      <c r="M930">
        <f t="shared" si="43"/>
        <v>63.249999999999993</v>
      </c>
      <c r="N930" t="str">
        <f t="shared" si="44"/>
        <v>Excelsa</v>
      </c>
      <c r="O930" t="str">
        <f t="shared" si="45"/>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_xlfn.XLOOKUP(C931,customers!$A$2:$A$1001,customers!$B$2:$B$1001,0)</f>
        <v>Jarred Camillo</v>
      </c>
      <c r="G931" s="2" t="str">
        <f>_xlfn.XLOOKUP(C931,customers!$A$2:$A$1001,customers!$C$2:$C$1001,0)</f>
        <v>jcamillopt@shinystat.com</v>
      </c>
      <c r="H931" s="2" t="str">
        <f>_xlfn.XLOOKUP(orders!C931,customers!$A$2:$A$1001,customers!$G$2:$G$1001,0)</f>
        <v>United States</v>
      </c>
      <c r="I931" t="str">
        <f>INDEX(products!$A$1:$G$49,MATCH(orders!$D931,products!$A$1:$A$49,0),MATCH($I$1,products!$A$1:$G$1,0))</f>
        <v>Exc</v>
      </c>
      <c r="J931" t="str">
        <f>INDEX(products!$A$1:$G$49,MATCH(orders!$D931,products!$A$1:$A$49,0),MATCH($J$1,products!$A$1:$G$1,0))</f>
        <v>L</v>
      </c>
      <c r="K931" s="1">
        <f>INDEX(products!$A$1:$G$49,MATCH(orders!$D931,products!$A$1:$A$49,0),MATCH($K$1,products!$A$1:$G$1,0))</f>
        <v>0.2</v>
      </c>
      <c r="L931">
        <f>INDEX(products!$A$1:$G$49,MATCH(orders!$D931,products!$A$1:$A$49,0),MATCH($L$1,products!$A$1:$G$1,0))</f>
        <v>4.4550000000000001</v>
      </c>
      <c r="M931">
        <f t="shared" si="43"/>
        <v>8.91</v>
      </c>
      <c r="N931" t="str">
        <f t="shared" si="44"/>
        <v>Excelsa</v>
      </c>
      <c r="O931" t="str">
        <f t="shared" si="45"/>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_xlfn.XLOOKUP(C932,customers!$A$2:$A$1001,customers!$B$2:$B$1001,0)</f>
        <v>Kameko Philbrick</v>
      </c>
      <c r="G932" s="2" t="str">
        <f>_xlfn.XLOOKUP(C932,customers!$A$2:$A$1001,customers!$C$2:$C$1001,0)</f>
        <v>kphilbrickpu@cdc.gov</v>
      </c>
      <c r="H932" s="2" t="str">
        <f>_xlfn.XLOOKUP(orders!C932,customers!$A$2:$A$1001,customers!$G$2:$G$1001,0)</f>
        <v>United States</v>
      </c>
      <c r="I932" t="str">
        <f>INDEX(products!$A$1:$G$49,MATCH(orders!$D932,products!$A$1:$A$49,0),MATCH($I$1,products!$A$1:$G$1,0))</f>
        <v>Exc</v>
      </c>
      <c r="J932" t="str">
        <f>INDEX(products!$A$1:$G$49,MATCH(orders!$D932,products!$A$1:$A$49,0),MATCH($J$1,products!$A$1:$G$1,0))</f>
        <v>D</v>
      </c>
      <c r="K932" s="1">
        <f>INDEX(products!$A$1:$G$49,MATCH(orders!$D932,products!$A$1:$A$49,0),MATCH($K$1,products!$A$1:$G$1,0))</f>
        <v>1</v>
      </c>
      <c r="L932">
        <f>INDEX(products!$A$1:$G$49,MATCH(orders!$D932,products!$A$1:$A$49,0),MATCH($L$1,products!$A$1:$G$1,0))</f>
        <v>12.15</v>
      </c>
      <c r="M932">
        <f t="shared" si="43"/>
        <v>12.15</v>
      </c>
      <c r="N932" t="str">
        <f t="shared" si="44"/>
        <v>Excelsa</v>
      </c>
      <c r="O932" t="str">
        <f t="shared" si="45"/>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_xlfn.XLOOKUP(C933,customers!$A$2:$A$1001,customers!$B$2:$B$1001,0)</f>
        <v>Mallory Shrimpling</v>
      </c>
      <c r="G933" s="2">
        <f>_xlfn.XLOOKUP(C933,customers!$A$2:$A$1001,customers!$C$2:$C$1001,0)</f>
        <v>0</v>
      </c>
      <c r="H933" s="2" t="str">
        <f>_xlfn.XLOOKUP(orders!C933,customers!$A$2:$A$1001,customers!$G$2:$G$1001,0)</f>
        <v>United States</v>
      </c>
      <c r="I933" t="str">
        <f>INDEX(products!$A$1:$G$49,MATCH(orders!$D933,products!$A$1:$A$49,0),MATCH($I$1,products!$A$1:$G$1,0))</f>
        <v>Ara</v>
      </c>
      <c r="J933" t="str">
        <f>INDEX(products!$A$1:$G$49,MATCH(orders!$D933,products!$A$1:$A$49,0),MATCH($J$1,products!$A$1:$G$1,0))</f>
        <v>D</v>
      </c>
      <c r="K933" s="1">
        <f>INDEX(products!$A$1:$G$49,MATCH(orders!$D933,products!$A$1:$A$49,0),MATCH($K$1,products!$A$1:$G$1,0))</f>
        <v>0.5</v>
      </c>
      <c r="L933">
        <f>INDEX(products!$A$1:$G$49,MATCH(orders!$D933,products!$A$1:$A$49,0),MATCH($L$1,products!$A$1:$G$1,0))</f>
        <v>5.97</v>
      </c>
      <c r="M933">
        <f t="shared" si="43"/>
        <v>23.88</v>
      </c>
      <c r="N933" t="str">
        <f t="shared" si="44"/>
        <v>Arabica</v>
      </c>
      <c r="O933" t="str">
        <f t="shared" si="45"/>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_xlfn.XLOOKUP(C934,customers!$A$2:$A$1001,customers!$B$2:$B$1001,0)</f>
        <v>Barnett Sillis</v>
      </c>
      <c r="G934" s="2" t="str">
        <f>_xlfn.XLOOKUP(C934,customers!$A$2:$A$1001,customers!$C$2:$C$1001,0)</f>
        <v>bsillispw@istockphoto.com</v>
      </c>
      <c r="H934" s="2" t="str">
        <f>_xlfn.XLOOKUP(orders!C934,customers!$A$2:$A$1001,customers!$G$2:$G$1001,0)</f>
        <v>United States</v>
      </c>
      <c r="I934" t="str">
        <f>INDEX(products!$A$1:$G$49,MATCH(orders!$D934,products!$A$1:$A$49,0),MATCH($I$1,products!$A$1:$G$1,0))</f>
        <v>Exc</v>
      </c>
      <c r="J934" t="str">
        <f>INDEX(products!$A$1:$G$49,MATCH(orders!$D934,products!$A$1:$A$49,0),MATCH($J$1,products!$A$1:$G$1,0))</f>
        <v>M</v>
      </c>
      <c r="K934" s="1">
        <f>INDEX(products!$A$1:$G$49,MATCH(orders!$D934,products!$A$1:$A$49,0),MATCH($K$1,products!$A$1:$G$1,0))</f>
        <v>1</v>
      </c>
      <c r="L934">
        <f>INDEX(products!$A$1:$G$49,MATCH(orders!$D934,products!$A$1:$A$49,0),MATCH($L$1,products!$A$1:$G$1,0))</f>
        <v>13.75</v>
      </c>
      <c r="M934">
        <f t="shared" si="43"/>
        <v>55</v>
      </c>
      <c r="N934" t="str">
        <f t="shared" si="44"/>
        <v>Excelsa</v>
      </c>
      <c r="O934" t="str">
        <f t="shared" si="45"/>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_xlfn.XLOOKUP(C935,customers!$A$2:$A$1001,customers!$B$2:$B$1001,0)</f>
        <v>Brenn Dundredge</v>
      </c>
      <c r="G935" s="2">
        <f>_xlfn.XLOOKUP(C935,customers!$A$2:$A$1001,customers!$C$2:$C$1001,0)</f>
        <v>0</v>
      </c>
      <c r="H935" s="2" t="str">
        <f>_xlfn.XLOOKUP(orders!C935,customers!$A$2:$A$1001,customers!$G$2:$G$1001,0)</f>
        <v>United States</v>
      </c>
      <c r="I935" t="str">
        <f>INDEX(products!$A$1:$G$49,MATCH(orders!$D935,products!$A$1:$A$49,0),MATCH($I$1,products!$A$1:$G$1,0))</f>
        <v>Rob</v>
      </c>
      <c r="J935" t="str">
        <f>INDEX(products!$A$1:$G$49,MATCH(orders!$D935,products!$A$1:$A$49,0),MATCH($J$1,products!$A$1:$G$1,0))</f>
        <v>D</v>
      </c>
      <c r="K935" s="1">
        <f>INDEX(products!$A$1:$G$49,MATCH(orders!$D935,products!$A$1:$A$49,0),MATCH($K$1,products!$A$1:$G$1,0))</f>
        <v>1</v>
      </c>
      <c r="L935">
        <f>INDEX(products!$A$1:$G$49,MATCH(orders!$D935,products!$A$1:$A$49,0),MATCH($L$1,products!$A$1:$G$1,0))</f>
        <v>8.9499999999999993</v>
      </c>
      <c r="M935">
        <f t="shared" si="43"/>
        <v>26.849999999999998</v>
      </c>
      <c r="N935" t="str">
        <f t="shared" si="44"/>
        <v>Robusta</v>
      </c>
      <c r="O935" t="str">
        <f t="shared" si="45"/>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_xlfn.XLOOKUP(C936,customers!$A$2:$A$1001,customers!$B$2:$B$1001,0)</f>
        <v>Read Cutts</v>
      </c>
      <c r="G936" s="2" t="str">
        <f>_xlfn.XLOOKUP(C936,customers!$A$2:$A$1001,customers!$C$2:$C$1001,0)</f>
        <v>rcuttspy@techcrunch.com</v>
      </c>
      <c r="H936" s="2" t="str">
        <f>_xlfn.XLOOKUP(orders!C936,customers!$A$2:$A$1001,customers!$G$2:$G$1001,0)</f>
        <v>United States</v>
      </c>
      <c r="I936" t="str">
        <f>INDEX(products!$A$1:$G$49,MATCH(orders!$D936,products!$A$1:$A$49,0),MATCH($I$1,products!$A$1:$G$1,0))</f>
        <v>Rob</v>
      </c>
      <c r="J936" t="str">
        <f>INDEX(products!$A$1:$G$49,MATCH(orders!$D936,products!$A$1:$A$49,0),MATCH($J$1,products!$A$1:$G$1,0))</f>
        <v>M</v>
      </c>
      <c r="K936" s="1">
        <f>INDEX(products!$A$1:$G$49,MATCH(orders!$D936,products!$A$1:$A$49,0),MATCH($K$1,products!$A$1:$G$1,0))</f>
        <v>2.5</v>
      </c>
      <c r="L936">
        <f>INDEX(products!$A$1:$G$49,MATCH(orders!$D936,products!$A$1:$A$49,0),MATCH($L$1,products!$A$1:$G$1,0))</f>
        <v>22.884999999999998</v>
      </c>
      <c r="M936">
        <f t="shared" si="43"/>
        <v>114.42499999999998</v>
      </c>
      <c r="N936" t="str">
        <f t="shared" si="44"/>
        <v>Robusta</v>
      </c>
      <c r="O936" t="str">
        <f t="shared" si="45"/>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_xlfn.XLOOKUP(C937,customers!$A$2:$A$1001,customers!$B$2:$B$1001,0)</f>
        <v>Michale Delves</v>
      </c>
      <c r="G937" s="2" t="str">
        <f>_xlfn.XLOOKUP(C937,customers!$A$2:$A$1001,customers!$C$2:$C$1001,0)</f>
        <v>mdelvespz@nature.com</v>
      </c>
      <c r="H937" s="2" t="str">
        <f>_xlfn.XLOOKUP(orders!C937,customers!$A$2:$A$1001,customers!$G$2:$G$1001,0)</f>
        <v>United States</v>
      </c>
      <c r="I937" t="str">
        <f>INDEX(products!$A$1:$G$49,MATCH(orders!$D937,products!$A$1:$A$49,0),MATCH($I$1,products!$A$1:$G$1,0))</f>
        <v>Ara</v>
      </c>
      <c r="J937" t="str">
        <f>INDEX(products!$A$1:$G$49,MATCH(orders!$D937,products!$A$1:$A$49,0),MATCH($J$1,products!$A$1:$G$1,0))</f>
        <v>M</v>
      </c>
      <c r="K937" s="1">
        <f>INDEX(products!$A$1:$G$49,MATCH(orders!$D937,products!$A$1:$A$49,0),MATCH($K$1,products!$A$1:$G$1,0))</f>
        <v>2.5</v>
      </c>
      <c r="L937">
        <f>INDEX(products!$A$1:$G$49,MATCH(orders!$D937,products!$A$1:$A$49,0),MATCH($L$1,products!$A$1:$G$1,0))</f>
        <v>25.874999999999996</v>
      </c>
      <c r="M937">
        <f t="shared" si="43"/>
        <v>155.24999999999997</v>
      </c>
      <c r="N937" t="str">
        <f t="shared" si="44"/>
        <v>Arabica</v>
      </c>
      <c r="O937" t="str">
        <f t="shared" si="45"/>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_xlfn.XLOOKUP(C938,customers!$A$2:$A$1001,customers!$B$2:$B$1001,0)</f>
        <v>Devland Gritton</v>
      </c>
      <c r="G938" s="2" t="str">
        <f>_xlfn.XLOOKUP(C938,customers!$A$2:$A$1001,customers!$C$2:$C$1001,0)</f>
        <v>dgrittonq0@nydailynews.com</v>
      </c>
      <c r="H938" s="2" t="str">
        <f>_xlfn.XLOOKUP(orders!C938,customers!$A$2:$A$1001,customers!$G$2:$G$1001,0)</f>
        <v>United States</v>
      </c>
      <c r="I938" t="str">
        <f>INDEX(products!$A$1:$G$49,MATCH(orders!$D938,products!$A$1:$A$49,0),MATCH($I$1,products!$A$1:$G$1,0))</f>
        <v>Lib</v>
      </c>
      <c r="J938" t="str">
        <f>INDEX(products!$A$1:$G$49,MATCH(orders!$D938,products!$A$1:$A$49,0),MATCH($J$1,products!$A$1:$G$1,0))</f>
        <v>D</v>
      </c>
      <c r="K938" s="1">
        <f>INDEX(products!$A$1:$G$49,MATCH(orders!$D938,products!$A$1:$A$49,0),MATCH($K$1,products!$A$1:$G$1,0))</f>
        <v>0.5</v>
      </c>
      <c r="L938">
        <f>INDEX(products!$A$1:$G$49,MATCH(orders!$D938,products!$A$1:$A$49,0),MATCH($L$1,products!$A$1:$G$1,0))</f>
        <v>7.77</v>
      </c>
      <c r="M938">
        <f t="shared" si="43"/>
        <v>23.31</v>
      </c>
      <c r="N938" t="str">
        <f t="shared" si="44"/>
        <v>Liberica</v>
      </c>
      <c r="O938" t="str">
        <f t="shared" si="45"/>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_xlfn.XLOOKUP(C939,customers!$A$2:$A$1001,customers!$B$2:$B$1001,0)</f>
        <v>Devland Gritton</v>
      </c>
      <c r="G939" s="2" t="str">
        <f>_xlfn.XLOOKUP(C939,customers!$A$2:$A$1001,customers!$C$2:$C$1001,0)</f>
        <v>dgrittonq0@nydailynews.com</v>
      </c>
      <c r="H939" s="2" t="str">
        <f>_xlfn.XLOOKUP(orders!C939,customers!$A$2:$A$1001,customers!$G$2:$G$1001,0)</f>
        <v>United States</v>
      </c>
      <c r="I939" t="str">
        <f>INDEX(products!$A$1:$G$49,MATCH(orders!$D939,products!$A$1:$A$49,0),MATCH($I$1,products!$A$1:$G$1,0))</f>
        <v>Rob</v>
      </c>
      <c r="J939" t="str">
        <f>INDEX(products!$A$1:$G$49,MATCH(orders!$D939,products!$A$1:$A$49,0),MATCH($J$1,products!$A$1:$G$1,0))</f>
        <v>M</v>
      </c>
      <c r="K939" s="1">
        <f>INDEX(products!$A$1:$G$49,MATCH(orders!$D939,products!$A$1:$A$49,0),MATCH($K$1,products!$A$1:$G$1,0))</f>
        <v>2.5</v>
      </c>
      <c r="L939">
        <f>INDEX(products!$A$1:$G$49,MATCH(orders!$D939,products!$A$1:$A$49,0),MATCH($L$1,products!$A$1:$G$1,0))</f>
        <v>22.884999999999998</v>
      </c>
      <c r="M939">
        <f t="shared" si="43"/>
        <v>91.539999999999992</v>
      </c>
      <c r="N939" t="str">
        <f t="shared" si="44"/>
        <v>Robusta</v>
      </c>
      <c r="O939" t="str">
        <f t="shared" si="45"/>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_xlfn.XLOOKUP(C940,customers!$A$2:$A$1001,customers!$B$2:$B$1001,0)</f>
        <v>Dell Gut</v>
      </c>
      <c r="G940" s="2" t="str">
        <f>_xlfn.XLOOKUP(C940,customers!$A$2:$A$1001,customers!$C$2:$C$1001,0)</f>
        <v>dgutq2@umich.edu</v>
      </c>
      <c r="H940" s="2" t="str">
        <f>_xlfn.XLOOKUP(orders!C940,customers!$A$2:$A$1001,customers!$G$2:$G$1001,0)</f>
        <v>United States</v>
      </c>
      <c r="I940" t="str">
        <f>INDEX(products!$A$1:$G$49,MATCH(orders!$D940,products!$A$1:$A$49,0),MATCH($I$1,products!$A$1:$G$1,0))</f>
        <v>Exc</v>
      </c>
      <c r="J940" t="str">
        <f>INDEX(products!$A$1:$G$49,MATCH(orders!$D940,products!$A$1:$A$49,0),MATCH($J$1,products!$A$1:$G$1,0))</f>
        <v>L</v>
      </c>
      <c r="K940" s="1">
        <f>INDEX(products!$A$1:$G$49,MATCH(orders!$D940,products!$A$1:$A$49,0),MATCH($K$1,products!$A$1:$G$1,0))</f>
        <v>1</v>
      </c>
      <c r="L940">
        <f>INDEX(products!$A$1:$G$49,MATCH(orders!$D940,products!$A$1:$A$49,0),MATCH($L$1,products!$A$1:$G$1,0))</f>
        <v>14.85</v>
      </c>
      <c r="M940">
        <f t="shared" si="43"/>
        <v>74.25</v>
      </c>
      <c r="N940" t="str">
        <f t="shared" si="44"/>
        <v>Excelsa</v>
      </c>
      <c r="O940" t="str">
        <f t="shared" si="45"/>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_xlfn.XLOOKUP(C941,customers!$A$2:$A$1001,customers!$B$2:$B$1001,0)</f>
        <v>Willy Pummery</v>
      </c>
      <c r="G941" s="2" t="str">
        <f>_xlfn.XLOOKUP(C941,customers!$A$2:$A$1001,customers!$C$2:$C$1001,0)</f>
        <v>wpummeryq3@topsy.com</v>
      </c>
      <c r="H941" s="2" t="str">
        <f>_xlfn.XLOOKUP(orders!C941,customers!$A$2:$A$1001,customers!$G$2:$G$1001,0)</f>
        <v>United States</v>
      </c>
      <c r="I941" t="str">
        <f>INDEX(products!$A$1:$G$49,MATCH(orders!$D941,products!$A$1:$A$49,0),MATCH($I$1,products!$A$1:$G$1,0))</f>
        <v>Lib</v>
      </c>
      <c r="J941" t="str">
        <f>INDEX(products!$A$1:$G$49,MATCH(orders!$D941,products!$A$1:$A$49,0),MATCH($J$1,products!$A$1:$G$1,0))</f>
        <v>L</v>
      </c>
      <c r="K941" s="1">
        <f>INDEX(products!$A$1:$G$49,MATCH(orders!$D941,products!$A$1:$A$49,0),MATCH($K$1,products!$A$1:$G$1,0))</f>
        <v>0.2</v>
      </c>
      <c r="L941">
        <f>INDEX(products!$A$1:$G$49,MATCH(orders!$D941,products!$A$1:$A$49,0),MATCH($L$1,products!$A$1:$G$1,0))</f>
        <v>4.7549999999999999</v>
      </c>
      <c r="M941">
        <f t="shared" si="43"/>
        <v>28.53</v>
      </c>
      <c r="N941" t="str">
        <f t="shared" si="44"/>
        <v>Liberica</v>
      </c>
      <c r="O941" t="str">
        <f t="shared" si="45"/>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_xlfn.XLOOKUP(C942,customers!$A$2:$A$1001,customers!$B$2:$B$1001,0)</f>
        <v>Geoffrey Siuda</v>
      </c>
      <c r="G942" s="2" t="str">
        <f>_xlfn.XLOOKUP(C942,customers!$A$2:$A$1001,customers!$C$2:$C$1001,0)</f>
        <v>gsiudaq4@nytimes.com</v>
      </c>
      <c r="H942" s="2" t="str">
        <f>_xlfn.XLOOKUP(orders!C942,customers!$A$2:$A$1001,customers!$G$2:$G$1001,0)</f>
        <v>United States</v>
      </c>
      <c r="I942" t="str">
        <f>INDEX(products!$A$1:$G$49,MATCH(orders!$D942,products!$A$1:$A$49,0),MATCH($I$1,products!$A$1:$G$1,0))</f>
        <v>Rob</v>
      </c>
      <c r="J942" t="str">
        <f>INDEX(products!$A$1:$G$49,MATCH(orders!$D942,products!$A$1:$A$49,0),MATCH($J$1,products!$A$1:$G$1,0))</f>
        <v>L</v>
      </c>
      <c r="K942" s="1">
        <f>INDEX(products!$A$1:$G$49,MATCH(orders!$D942,products!$A$1:$A$49,0),MATCH($K$1,products!$A$1:$G$1,0))</f>
        <v>0.5</v>
      </c>
      <c r="L942">
        <f>INDEX(products!$A$1:$G$49,MATCH(orders!$D942,products!$A$1:$A$49,0),MATCH($L$1,products!$A$1:$G$1,0))</f>
        <v>7.169999999999999</v>
      </c>
      <c r="M942">
        <f t="shared" si="43"/>
        <v>14.339999999999998</v>
      </c>
      <c r="N942" t="str">
        <f t="shared" si="44"/>
        <v>Robusta</v>
      </c>
      <c r="O942" t="str">
        <f t="shared" si="45"/>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_xlfn.XLOOKUP(C943,customers!$A$2:$A$1001,customers!$B$2:$B$1001,0)</f>
        <v>Henderson Crowne</v>
      </c>
      <c r="G943" s="2" t="str">
        <f>_xlfn.XLOOKUP(C943,customers!$A$2:$A$1001,customers!$C$2:$C$1001,0)</f>
        <v>hcrowneq5@wufoo.com</v>
      </c>
      <c r="H943" s="2" t="str">
        <f>_xlfn.XLOOKUP(orders!C943,customers!$A$2:$A$1001,customers!$G$2:$G$1001,0)</f>
        <v>Ireland</v>
      </c>
      <c r="I943" t="str">
        <f>INDEX(products!$A$1:$G$49,MATCH(orders!$D943,products!$A$1:$A$49,0),MATCH($I$1,products!$A$1:$G$1,0))</f>
        <v>Ara</v>
      </c>
      <c r="J943" t="str">
        <f>INDEX(products!$A$1:$G$49,MATCH(orders!$D943,products!$A$1:$A$49,0),MATCH($J$1,products!$A$1:$G$1,0))</f>
        <v>L</v>
      </c>
      <c r="K943" s="1">
        <f>INDEX(products!$A$1:$G$49,MATCH(orders!$D943,products!$A$1:$A$49,0),MATCH($K$1,products!$A$1:$G$1,0))</f>
        <v>0.5</v>
      </c>
      <c r="L943">
        <f>INDEX(products!$A$1:$G$49,MATCH(orders!$D943,products!$A$1:$A$49,0),MATCH($L$1,products!$A$1:$G$1,0))</f>
        <v>7.77</v>
      </c>
      <c r="M943">
        <f t="shared" si="43"/>
        <v>15.54</v>
      </c>
      <c r="N943" t="str">
        <f t="shared" si="44"/>
        <v>Arabica</v>
      </c>
      <c r="O943" t="str">
        <f t="shared" si="45"/>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_xlfn.XLOOKUP(C944,customers!$A$2:$A$1001,customers!$B$2:$B$1001,0)</f>
        <v>Vernor Pawsey</v>
      </c>
      <c r="G944" s="2" t="str">
        <f>_xlfn.XLOOKUP(C944,customers!$A$2:$A$1001,customers!$C$2:$C$1001,0)</f>
        <v>vpawseyq6@tiny.cc</v>
      </c>
      <c r="H944" s="2" t="str">
        <f>_xlfn.XLOOKUP(orders!C944,customers!$A$2:$A$1001,customers!$G$2:$G$1001,0)</f>
        <v>United States</v>
      </c>
      <c r="I944" t="str">
        <f>INDEX(products!$A$1:$G$49,MATCH(orders!$D944,products!$A$1:$A$49,0),MATCH($I$1,products!$A$1:$G$1,0))</f>
        <v>Rob</v>
      </c>
      <c r="J944" t="str">
        <f>INDEX(products!$A$1:$G$49,MATCH(orders!$D944,products!$A$1:$A$49,0),MATCH($J$1,products!$A$1:$G$1,0))</f>
        <v>L</v>
      </c>
      <c r="K944" s="1">
        <f>INDEX(products!$A$1:$G$49,MATCH(orders!$D944,products!$A$1:$A$49,0),MATCH($K$1,products!$A$1:$G$1,0))</f>
        <v>1</v>
      </c>
      <c r="L944">
        <f>INDEX(products!$A$1:$G$49,MATCH(orders!$D944,products!$A$1:$A$49,0),MATCH($L$1,products!$A$1:$G$1,0))</f>
        <v>11.95</v>
      </c>
      <c r="M944">
        <f t="shared" si="43"/>
        <v>35.849999999999994</v>
      </c>
      <c r="N944" t="str">
        <f t="shared" si="44"/>
        <v>Robusta</v>
      </c>
      <c r="O944" t="str">
        <f t="shared" si="45"/>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_xlfn.XLOOKUP(C945,customers!$A$2:$A$1001,customers!$B$2:$B$1001,0)</f>
        <v>Augustin Waterhouse</v>
      </c>
      <c r="G945" s="2" t="str">
        <f>_xlfn.XLOOKUP(C945,customers!$A$2:$A$1001,customers!$C$2:$C$1001,0)</f>
        <v>awaterhouseq7@istockphoto.com</v>
      </c>
      <c r="H945" s="2" t="str">
        <f>_xlfn.XLOOKUP(orders!C945,customers!$A$2:$A$1001,customers!$G$2:$G$1001,0)</f>
        <v>United States</v>
      </c>
      <c r="I945" t="str">
        <f>INDEX(products!$A$1:$G$49,MATCH(orders!$D945,products!$A$1:$A$49,0),MATCH($I$1,products!$A$1:$G$1,0))</f>
        <v>Ara</v>
      </c>
      <c r="J945" t="str">
        <f>INDEX(products!$A$1:$G$49,MATCH(orders!$D945,products!$A$1:$A$49,0),MATCH($J$1,products!$A$1:$G$1,0))</f>
        <v>L</v>
      </c>
      <c r="K945" s="1">
        <f>INDEX(products!$A$1:$G$49,MATCH(orders!$D945,products!$A$1:$A$49,0),MATCH($K$1,products!$A$1:$G$1,0))</f>
        <v>0.5</v>
      </c>
      <c r="L945">
        <f>INDEX(products!$A$1:$G$49,MATCH(orders!$D945,products!$A$1:$A$49,0),MATCH($L$1,products!$A$1:$G$1,0))</f>
        <v>7.77</v>
      </c>
      <c r="M945">
        <f t="shared" si="43"/>
        <v>46.62</v>
      </c>
      <c r="N945" t="str">
        <f t="shared" si="44"/>
        <v>Arabica</v>
      </c>
      <c r="O945" t="str">
        <f t="shared" si="45"/>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_xlfn.XLOOKUP(C946,customers!$A$2:$A$1001,customers!$B$2:$B$1001,0)</f>
        <v>Fanchon Haughian</v>
      </c>
      <c r="G946" s="2" t="str">
        <f>_xlfn.XLOOKUP(C946,customers!$A$2:$A$1001,customers!$C$2:$C$1001,0)</f>
        <v>fhaughianq8@1688.com</v>
      </c>
      <c r="H946" s="2" t="str">
        <f>_xlfn.XLOOKUP(orders!C946,customers!$A$2:$A$1001,customers!$G$2:$G$1001,0)</f>
        <v>United States</v>
      </c>
      <c r="I946" t="str">
        <f>INDEX(products!$A$1:$G$49,MATCH(orders!$D946,products!$A$1:$A$49,0),MATCH($I$1,products!$A$1:$G$1,0))</f>
        <v>Rob</v>
      </c>
      <c r="J946" t="str">
        <f>INDEX(products!$A$1:$G$49,MATCH(orders!$D946,products!$A$1:$A$49,0),MATCH($J$1,products!$A$1:$G$1,0))</f>
        <v>L</v>
      </c>
      <c r="K946" s="1">
        <f>INDEX(products!$A$1:$G$49,MATCH(orders!$D946,products!$A$1:$A$49,0),MATCH($K$1,products!$A$1:$G$1,0))</f>
        <v>0.5</v>
      </c>
      <c r="L946">
        <f>INDEX(products!$A$1:$G$49,MATCH(orders!$D946,products!$A$1:$A$49,0),MATCH($L$1,products!$A$1:$G$1,0))</f>
        <v>7.169999999999999</v>
      </c>
      <c r="M946">
        <f t="shared" si="43"/>
        <v>35.849999999999994</v>
      </c>
      <c r="N946" t="str">
        <f t="shared" si="44"/>
        <v>Robusta</v>
      </c>
      <c r="O946" t="str">
        <f t="shared" si="45"/>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_xlfn.XLOOKUP(C947,customers!$A$2:$A$1001,customers!$B$2:$B$1001,0)</f>
        <v>Jaimie Hatz</v>
      </c>
      <c r="G947" s="2">
        <f>_xlfn.XLOOKUP(C947,customers!$A$2:$A$1001,customers!$C$2:$C$1001,0)</f>
        <v>0</v>
      </c>
      <c r="H947" s="2" t="str">
        <f>_xlfn.XLOOKUP(orders!C947,customers!$A$2:$A$1001,customers!$G$2:$G$1001,0)</f>
        <v>United States</v>
      </c>
      <c r="I947" t="str">
        <f>INDEX(products!$A$1:$G$49,MATCH(orders!$D947,products!$A$1:$A$49,0),MATCH($I$1,products!$A$1:$G$1,0))</f>
        <v>Lib</v>
      </c>
      <c r="J947" t="str">
        <f>INDEX(products!$A$1:$G$49,MATCH(orders!$D947,products!$A$1:$A$49,0),MATCH($J$1,products!$A$1:$G$1,0))</f>
        <v>D</v>
      </c>
      <c r="K947" s="1">
        <f>INDEX(products!$A$1:$G$49,MATCH(orders!$D947,products!$A$1:$A$49,0),MATCH($K$1,products!$A$1:$G$1,0))</f>
        <v>2.5</v>
      </c>
      <c r="L947">
        <f>INDEX(products!$A$1:$G$49,MATCH(orders!$D947,products!$A$1:$A$49,0),MATCH($L$1,products!$A$1:$G$1,0))</f>
        <v>29.784999999999997</v>
      </c>
      <c r="M947">
        <f t="shared" si="43"/>
        <v>119.13999999999999</v>
      </c>
      <c r="N947" t="str">
        <f t="shared" si="44"/>
        <v>Liberica</v>
      </c>
      <c r="O947" t="str">
        <f t="shared" si="45"/>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_xlfn.XLOOKUP(C948,customers!$A$2:$A$1001,customers!$B$2:$B$1001,0)</f>
        <v>Edeline Edney</v>
      </c>
      <c r="G948" s="2">
        <f>_xlfn.XLOOKUP(C948,customers!$A$2:$A$1001,customers!$C$2:$C$1001,0)</f>
        <v>0</v>
      </c>
      <c r="H948" s="2" t="str">
        <f>_xlfn.XLOOKUP(orders!C948,customers!$A$2:$A$1001,customers!$G$2:$G$1001,0)</f>
        <v>United States</v>
      </c>
      <c r="I948" t="str">
        <f>INDEX(products!$A$1:$G$49,MATCH(orders!$D948,products!$A$1:$A$49,0),MATCH($I$1,products!$A$1:$G$1,0))</f>
        <v>Lib</v>
      </c>
      <c r="J948" t="str">
        <f>INDEX(products!$A$1:$G$49,MATCH(orders!$D948,products!$A$1:$A$49,0),MATCH($J$1,products!$A$1:$G$1,0))</f>
        <v>D</v>
      </c>
      <c r="K948" s="1">
        <f>INDEX(products!$A$1:$G$49,MATCH(orders!$D948,products!$A$1:$A$49,0),MATCH($K$1,products!$A$1:$G$1,0))</f>
        <v>0.5</v>
      </c>
      <c r="L948">
        <f>INDEX(products!$A$1:$G$49,MATCH(orders!$D948,products!$A$1:$A$49,0),MATCH($L$1,products!$A$1:$G$1,0))</f>
        <v>7.77</v>
      </c>
      <c r="M948">
        <f t="shared" si="43"/>
        <v>23.31</v>
      </c>
      <c r="N948" t="str">
        <f t="shared" si="44"/>
        <v>Liberica</v>
      </c>
      <c r="O948" t="str">
        <f t="shared" si="45"/>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_xlfn.XLOOKUP(C949,customers!$A$2:$A$1001,customers!$B$2:$B$1001,0)</f>
        <v>Rickie Faltin</v>
      </c>
      <c r="G949" s="2" t="str">
        <f>_xlfn.XLOOKUP(C949,customers!$A$2:$A$1001,customers!$C$2:$C$1001,0)</f>
        <v>rfaltinqb@topsy.com</v>
      </c>
      <c r="H949" s="2" t="str">
        <f>_xlfn.XLOOKUP(orders!C949,customers!$A$2:$A$1001,customers!$G$2:$G$1001,0)</f>
        <v>Ireland</v>
      </c>
      <c r="I949" t="str">
        <f>INDEX(products!$A$1:$G$49,MATCH(orders!$D949,products!$A$1:$A$49,0),MATCH($I$1,products!$A$1:$G$1,0))</f>
        <v>Ara</v>
      </c>
      <c r="J949" t="str">
        <f>INDEX(products!$A$1:$G$49,MATCH(orders!$D949,products!$A$1:$A$49,0),MATCH($J$1,products!$A$1:$G$1,0))</f>
        <v>M</v>
      </c>
      <c r="K949" s="1">
        <f>INDEX(products!$A$1:$G$49,MATCH(orders!$D949,products!$A$1:$A$49,0),MATCH($K$1,products!$A$1:$G$1,0))</f>
        <v>1</v>
      </c>
      <c r="L949">
        <f>INDEX(products!$A$1:$G$49,MATCH(orders!$D949,products!$A$1:$A$49,0),MATCH($L$1,products!$A$1:$G$1,0))</f>
        <v>11.25</v>
      </c>
      <c r="M949">
        <f t="shared" si="43"/>
        <v>11.25</v>
      </c>
      <c r="N949" t="str">
        <f t="shared" si="44"/>
        <v>Arabica</v>
      </c>
      <c r="O949" t="str">
        <f t="shared" si="45"/>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_xlfn.XLOOKUP(C950,customers!$A$2:$A$1001,customers!$B$2:$B$1001,0)</f>
        <v>Gnni Cheeke</v>
      </c>
      <c r="G950" s="2" t="str">
        <f>_xlfn.XLOOKUP(C950,customers!$A$2:$A$1001,customers!$C$2:$C$1001,0)</f>
        <v>gcheekeqc@sitemeter.com</v>
      </c>
      <c r="H950" s="2" t="str">
        <f>_xlfn.XLOOKUP(orders!C950,customers!$A$2:$A$1001,customers!$G$2:$G$1001,0)</f>
        <v>United Kingdom</v>
      </c>
      <c r="I950" t="str">
        <f>INDEX(products!$A$1:$G$49,MATCH(orders!$D950,products!$A$1:$A$49,0),MATCH($I$1,products!$A$1:$G$1,0))</f>
        <v>Exc</v>
      </c>
      <c r="J950" t="str">
        <f>INDEX(products!$A$1:$G$49,MATCH(orders!$D950,products!$A$1:$A$49,0),MATCH($J$1,products!$A$1:$G$1,0))</f>
        <v>D</v>
      </c>
      <c r="K950" s="1">
        <f>INDEX(products!$A$1:$G$49,MATCH(orders!$D950,products!$A$1:$A$49,0),MATCH($K$1,products!$A$1:$G$1,0))</f>
        <v>2.5</v>
      </c>
      <c r="L950">
        <f>INDEX(products!$A$1:$G$49,MATCH(orders!$D950,products!$A$1:$A$49,0),MATCH($L$1,products!$A$1:$G$1,0))</f>
        <v>27.945</v>
      </c>
      <c r="M950">
        <f t="shared" si="43"/>
        <v>83.835000000000008</v>
      </c>
      <c r="N950" t="str">
        <f t="shared" si="44"/>
        <v>Excelsa</v>
      </c>
      <c r="O950" t="str">
        <f t="shared" si="45"/>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_xlfn.XLOOKUP(C951,customers!$A$2:$A$1001,customers!$B$2:$B$1001,0)</f>
        <v>Gwenni Ratt</v>
      </c>
      <c r="G951" s="2" t="str">
        <f>_xlfn.XLOOKUP(C951,customers!$A$2:$A$1001,customers!$C$2:$C$1001,0)</f>
        <v>grattqd@phpbb.com</v>
      </c>
      <c r="H951" s="2" t="str">
        <f>_xlfn.XLOOKUP(orders!C951,customers!$A$2:$A$1001,customers!$G$2:$G$1001,0)</f>
        <v>Ireland</v>
      </c>
      <c r="I951" t="str">
        <f>INDEX(products!$A$1:$G$49,MATCH(orders!$D951,products!$A$1:$A$49,0),MATCH($I$1,products!$A$1:$G$1,0))</f>
        <v>Rob</v>
      </c>
      <c r="J951" t="str">
        <f>INDEX(products!$A$1:$G$49,MATCH(orders!$D951,products!$A$1:$A$49,0),MATCH($J$1,products!$A$1:$G$1,0))</f>
        <v>L</v>
      </c>
      <c r="K951" s="1">
        <f>INDEX(products!$A$1:$G$49,MATCH(orders!$D951,products!$A$1:$A$49,0),MATCH($K$1,products!$A$1:$G$1,0))</f>
        <v>2.5</v>
      </c>
      <c r="L951">
        <f>INDEX(products!$A$1:$G$49,MATCH(orders!$D951,products!$A$1:$A$49,0),MATCH($L$1,products!$A$1:$G$1,0))</f>
        <v>27.484999999999996</v>
      </c>
      <c r="M951">
        <f t="shared" si="43"/>
        <v>109.93999999999998</v>
      </c>
      <c r="N951" t="str">
        <f t="shared" si="44"/>
        <v>Robusta</v>
      </c>
      <c r="O951" t="str">
        <f t="shared" si="45"/>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_xlfn.XLOOKUP(C952,customers!$A$2:$A$1001,customers!$B$2:$B$1001,0)</f>
        <v>Johnath Fairebrother</v>
      </c>
      <c r="G952" s="2">
        <f>_xlfn.XLOOKUP(C952,customers!$A$2:$A$1001,customers!$C$2:$C$1001,0)</f>
        <v>0</v>
      </c>
      <c r="H952" s="2" t="str">
        <f>_xlfn.XLOOKUP(orders!C952,customers!$A$2:$A$1001,customers!$G$2:$G$1001,0)</f>
        <v>United States</v>
      </c>
      <c r="I952" t="str">
        <f>INDEX(products!$A$1:$G$49,MATCH(orders!$D952,products!$A$1:$A$49,0),MATCH($I$1,products!$A$1:$G$1,0))</f>
        <v>Rob</v>
      </c>
      <c r="J952" t="str">
        <f>INDEX(products!$A$1:$G$49,MATCH(orders!$D952,products!$A$1:$A$49,0),MATCH($J$1,products!$A$1:$G$1,0))</f>
        <v>L</v>
      </c>
      <c r="K952" s="1">
        <f>INDEX(products!$A$1:$G$49,MATCH(orders!$D952,products!$A$1:$A$49,0),MATCH($K$1,products!$A$1:$G$1,0))</f>
        <v>0.2</v>
      </c>
      <c r="L952">
        <f>INDEX(products!$A$1:$G$49,MATCH(orders!$D952,products!$A$1:$A$49,0),MATCH($L$1,products!$A$1:$G$1,0))</f>
        <v>3.5849999999999995</v>
      </c>
      <c r="M952">
        <f t="shared" si="43"/>
        <v>14.339999999999998</v>
      </c>
      <c r="N952" t="str">
        <f t="shared" si="44"/>
        <v>Robusta</v>
      </c>
      <c r="O952" t="str">
        <f t="shared" si="45"/>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_xlfn.XLOOKUP(C953,customers!$A$2:$A$1001,customers!$B$2:$B$1001,0)</f>
        <v>Ingamar Eberlein</v>
      </c>
      <c r="G953" s="2" t="str">
        <f>_xlfn.XLOOKUP(C953,customers!$A$2:$A$1001,customers!$C$2:$C$1001,0)</f>
        <v>ieberleinqf@hc360.com</v>
      </c>
      <c r="H953" s="2" t="str">
        <f>_xlfn.XLOOKUP(orders!C953,customers!$A$2:$A$1001,customers!$G$2:$G$1001,0)</f>
        <v>United States</v>
      </c>
      <c r="I953" t="str">
        <f>INDEX(products!$A$1:$G$49,MATCH(orders!$D953,products!$A$1:$A$49,0),MATCH($I$1,products!$A$1:$G$1,0))</f>
        <v>Rob</v>
      </c>
      <c r="J953" t="str">
        <f>INDEX(products!$A$1:$G$49,MATCH(orders!$D953,products!$A$1:$A$49,0),MATCH($J$1,products!$A$1:$G$1,0))</f>
        <v>L</v>
      </c>
      <c r="K953" s="1">
        <f>INDEX(products!$A$1:$G$49,MATCH(orders!$D953,products!$A$1:$A$49,0),MATCH($K$1,products!$A$1:$G$1,0))</f>
        <v>0.2</v>
      </c>
      <c r="L953">
        <f>INDEX(products!$A$1:$G$49,MATCH(orders!$D953,products!$A$1:$A$49,0),MATCH($L$1,products!$A$1:$G$1,0))</f>
        <v>3.5849999999999995</v>
      </c>
      <c r="M953">
        <f t="shared" si="43"/>
        <v>21.509999999999998</v>
      </c>
      <c r="N953" t="str">
        <f t="shared" si="44"/>
        <v>Robusta</v>
      </c>
      <c r="O953" t="str">
        <f t="shared" si="45"/>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_xlfn.XLOOKUP(C954,customers!$A$2:$A$1001,customers!$B$2:$B$1001,0)</f>
        <v>Jilly Dreng</v>
      </c>
      <c r="G954" s="2" t="str">
        <f>_xlfn.XLOOKUP(C954,customers!$A$2:$A$1001,customers!$C$2:$C$1001,0)</f>
        <v>jdrengqg@uiuc.edu</v>
      </c>
      <c r="H954" s="2" t="str">
        <f>_xlfn.XLOOKUP(orders!C954,customers!$A$2:$A$1001,customers!$G$2:$G$1001,0)</f>
        <v>Ireland</v>
      </c>
      <c r="I954" t="str">
        <f>INDEX(products!$A$1:$G$49,MATCH(orders!$D954,products!$A$1:$A$49,0),MATCH($I$1,products!$A$1:$G$1,0))</f>
        <v>Ara</v>
      </c>
      <c r="J954" t="str">
        <f>INDEX(products!$A$1:$G$49,MATCH(orders!$D954,products!$A$1:$A$49,0),MATCH($J$1,products!$A$1:$G$1,0))</f>
        <v>M</v>
      </c>
      <c r="K954" s="1">
        <f>INDEX(products!$A$1:$G$49,MATCH(orders!$D954,products!$A$1:$A$49,0),MATCH($K$1,products!$A$1:$G$1,0))</f>
        <v>1</v>
      </c>
      <c r="L954">
        <f>INDEX(products!$A$1:$G$49,MATCH(orders!$D954,products!$A$1:$A$49,0),MATCH($L$1,products!$A$1:$G$1,0))</f>
        <v>11.25</v>
      </c>
      <c r="M954">
        <f t="shared" si="43"/>
        <v>22.5</v>
      </c>
      <c r="N954" t="str">
        <f t="shared" si="44"/>
        <v>Arabica</v>
      </c>
      <c r="O954" t="str">
        <f t="shared" si="45"/>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_xlfn.XLOOKUP(C955,customers!$A$2:$A$1001,customers!$B$2:$B$1001,0)</f>
        <v>Brenn Dundredge</v>
      </c>
      <c r="G955" s="2">
        <f>_xlfn.XLOOKUP(C955,customers!$A$2:$A$1001,customers!$C$2:$C$1001,0)</f>
        <v>0</v>
      </c>
      <c r="H955" s="2" t="str">
        <f>_xlfn.XLOOKUP(orders!C955,customers!$A$2:$A$1001,customers!$G$2:$G$1001,0)</f>
        <v>United States</v>
      </c>
      <c r="I955" t="str">
        <f>INDEX(products!$A$1:$G$49,MATCH(orders!$D955,products!$A$1:$A$49,0),MATCH($I$1,products!$A$1:$G$1,0))</f>
        <v>Ara</v>
      </c>
      <c r="J955" t="str">
        <f>INDEX(products!$A$1:$G$49,MATCH(orders!$D955,products!$A$1:$A$49,0),MATCH($J$1,products!$A$1:$G$1,0))</f>
        <v>L</v>
      </c>
      <c r="K955" s="1">
        <f>INDEX(products!$A$1:$G$49,MATCH(orders!$D955,products!$A$1:$A$49,0),MATCH($K$1,products!$A$1:$G$1,0))</f>
        <v>0.2</v>
      </c>
      <c r="L955">
        <f>INDEX(products!$A$1:$G$49,MATCH(orders!$D955,products!$A$1:$A$49,0),MATCH($L$1,products!$A$1:$G$1,0))</f>
        <v>3.8849999999999998</v>
      </c>
      <c r="M955">
        <f t="shared" si="43"/>
        <v>3.8849999999999998</v>
      </c>
      <c r="N955" t="str">
        <f t="shared" si="44"/>
        <v>Arabica</v>
      </c>
      <c r="O955" t="str">
        <f t="shared" si="45"/>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_xlfn.XLOOKUP(C956,customers!$A$2:$A$1001,customers!$B$2:$B$1001,0)</f>
        <v>Brenn Dundredge</v>
      </c>
      <c r="G956" s="2">
        <f>_xlfn.XLOOKUP(C956,customers!$A$2:$A$1001,customers!$C$2:$C$1001,0)</f>
        <v>0</v>
      </c>
      <c r="H956" s="2" t="str">
        <f>_xlfn.XLOOKUP(orders!C956,customers!$A$2:$A$1001,customers!$G$2:$G$1001,0)</f>
        <v>United States</v>
      </c>
      <c r="I956" t="str">
        <f>INDEX(products!$A$1:$G$49,MATCH(orders!$D956,products!$A$1:$A$49,0),MATCH($I$1,products!$A$1:$G$1,0))</f>
        <v>Exc</v>
      </c>
      <c r="J956" t="str">
        <f>INDEX(products!$A$1:$G$49,MATCH(orders!$D956,products!$A$1:$A$49,0),MATCH($J$1,products!$A$1:$G$1,0))</f>
        <v>D</v>
      </c>
      <c r="K956" s="1">
        <f>INDEX(products!$A$1:$G$49,MATCH(orders!$D956,products!$A$1:$A$49,0),MATCH($K$1,products!$A$1:$G$1,0))</f>
        <v>2.5</v>
      </c>
      <c r="L956">
        <f>INDEX(products!$A$1:$G$49,MATCH(orders!$D956,products!$A$1:$A$49,0),MATCH($L$1,products!$A$1:$G$1,0))</f>
        <v>27.945</v>
      </c>
      <c r="M956">
        <f t="shared" si="43"/>
        <v>27.945</v>
      </c>
      <c r="N956" t="str">
        <f t="shared" si="44"/>
        <v>Excelsa</v>
      </c>
      <c r="O956" t="str">
        <f t="shared" si="45"/>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_xlfn.XLOOKUP(C957,customers!$A$2:$A$1001,customers!$B$2:$B$1001,0)</f>
        <v>Brenn Dundredge</v>
      </c>
      <c r="G957" s="2">
        <f>_xlfn.XLOOKUP(C957,customers!$A$2:$A$1001,customers!$C$2:$C$1001,0)</f>
        <v>0</v>
      </c>
      <c r="H957" s="2" t="str">
        <f>_xlfn.XLOOKUP(orders!C957,customers!$A$2:$A$1001,customers!$G$2:$G$1001,0)</f>
        <v>United States</v>
      </c>
      <c r="I957" t="str">
        <f>INDEX(products!$A$1:$G$49,MATCH(orders!$D957,products!$A$1:$A$49,0),MATCH($I$1,products!$A$1:$G$1,0))</f>
        <v>Exc</v>
      </c>
      <c r="J957" t="str">
        <f>INDEX(products!$A$1:$G$49,MATCH(orders!$D957,products!$A$1:$A$49,0),MATCH($J$1,products!$A$1:$G$1,0))</f>
        <v>L</v>
      </c>
      <c r="K957" s="1">
        <f>INDEX(products!$A$1:$G$49,MATCH(orders!$D957,products!$A$1:$A$49,0),MATCH($K$1,products!$A$1:$G$1,0))</f>
        <v>2.5</v>
      </c>
      <c r="L957">
        <f>INDEX(products!$A$1:$G$49,MATCH(orders!$D957,products!$A$1:$A$49,0),MATCH($L$1,products!$A$1:$G$1,0))</f>
        <v>34.154999999999994</v>
      </c>
      <c r="M957">
        <f t="shared" si="43"/>
        <v>170.77499999999998</v>
      </c>
      <c r="N957" t="str">
        <f t="shared" si="44"/>
        <v>Excelsa</v>
      </c>
      <c r="O957" t="str">
        <f t="shared" si="45"/>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_xlfn.XLOOKUP(C958,customers!$A$2:$A$1001,customers!$B$2:$B$1001,0)</f>
        <v>Brenn Dundredge</v>
      </c>
      <c r="G958" s="2">
        <f>_xlfn.XLOOKUP(C958,customers!$A$2:$A$1001,customers!$C$2:$C$1001,0)</f>
        <v>0</v>
      </c>
      <c r="H958" s="2" t="str">
        <f>_xlfn.XLOOKUP(orders!C958,customers!$A$2:$A$1001,customers!$G$2:$G$1001,0)</f>
        <v>United States</v>
      </c>
      <c r="I958" t="str">
        <f>INDEX(products!$A$1:$G$49,MATCH(orders!$D958,products!$A$1:$A$49,0),MATCH($I$1,products!$A$1:$G$1,0))</f>
        <v>Rob</v>
      </c>
      <c r="J958" t="str">
        <f>INDEX(products!$A$1:$G$49,MATCH(orders!$D958,products!$A$1:$A$49,0),MATCH($J$1,products!$A$1:$G$1,0))</f>
        <v>L</v>
      </c>
      <c r="K958" s="1">
        <f>INDEX(products!$A$1:$G$49,MATCH(orders!$D958,products!$A$1:$A$49,0),MATCH($K$1,products!$A$1:$G$1,0))</f>
        <v>2.5</v>
      </c>
      <c r="L958">
        <f>INDEX(products!$A$1:$G$49,MATCH(orders!$D958,products!$A$1:$A$49,0),MATCH($L$1,products!$A$1:$G$1,0))</f>
        <v>27.484999999999996</v>
      </c>
      <c r="M958">
        <f t="shared" si="43"/>
        <v>54.969999999999992</v>
      </c>
      <c r="N958" t="str">
        <f t="shared" si="44"/>
        <v>Robusta</v>
      </c>
      <c r="O958" t="str">
        <f t="shared" si="45"/>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_xlfn.XLOOKUP(C959,customers!$A$2:$A$1001,customers!$B$2:$B$1001,0)</f>
        <v>Brenn Dundredge</v>
      </c>
      <c r="G959" s="2">
        <f>_xlfn.XLOOKUP(C959,customers!$A$2:$A$1001,customers!$C$2:$C$1001,0)</f>
        <v>0</v>
      </c>
      <c r="H959" s="2" t="str">
        <f>_xlfn.XLOOKUP(orders!C959,customers!$A$2:$A$1001,customers!$G$2:$G$1001,0)</f>
        <v>United States</v>
      </c>
      <c r="I959" t="str">
        <f>INDEX(products!$A$1:$G$49,MATCH(orders!$D959,products!$A$1:$A$49,0),MATCH($I$1,products!$A$1:$G$1,0))</f>
        <v>Exc</v>
      </c>
      <c r="J959" t="str">
        <f>INDEX(products!$A$1:$G$49,MATCH(orders!$D959,products!$A$1:$A$49,0),MATCH($J$1,products!$A$1:$G$1,0))</f>
        <v>L</v>
      </c>
      <c r="K959" s="1">
        <f>INDEX(products!$A$1:$G$49,MATCH(orders!$D959,products!$A$1:$A$49,0),MATCH($K$1,products!$A$1:$G$1,0))</f>
        <v>1</v>
      </c>
      <c r="L959">
        <f>INDEX(products!$A$1:$G$49,MATCH(orders!$D959,products!$A$1:$A$49,0),MATCH($L$1,products!$A$1:$G$1,0))</f>
        <v>14.85</v>
      </c>
      <c r="M959">
        <f t="shared" si="43"/>
        <v>14.85</v>
      </c>
      <c r="N959" t="str">
        <f t="shared" si="44"/>
        <v>Excelsa</v>
      </c>
      <c r="O959" t="str">
        <f t="shared" si="45"/>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_xlfn.XLOOKUP(C960,customers!$A$2:$A$1001,customers!$B$2:$B$1001,0)</f>
        <v>Brenn Dundredge</v>
      </c>
      <c r="G960" s="2">
        <f>_xlfn.XLOOKUP(C960,customers!$A$2:$A$1001,customers!$C$2:$C$1001,0)</f>
        <v>0</v>
      </c>
      <c r="H960" s="2" t="str">
        <f>_xlfn.XLOOKUP(orders!C960,customers!$A$2:$A$1001,customers!$G$2:$G$1001,0)</f>
        <v>United States</v>
      </c>
      <c r="I960" t="str">
        <f>INDEX(products!$A$1:$G$49,MATCH(orders!$D960,products!$A$1:$A$49,0),MATCH($I$1,products!$A$1:$G$1,0))</f>
        <v>Ara</v>
      </c>
      <c r="J960" t="str">
        <f>INDEX(products!$A$1:$G$49,MATCH(orders!$D960,products!$A$1:$A$49,0),MATCH($J$1,products!$A$1:$G$1,0))</f>
        <v>L</v>
      </c>
      <c r="K960" s="1">
        <f>INDEX(products!$A$1:$G$49,MATCH(orders!$D960,products!$A$1:$A$49,0),MATCH($K$1,products!$A$1:$G$1,0))</f>
        <v>0.2</v>
      </c>
      <c r="L960">
        <f>INDEX(products!$A$1:$G$49,MATCH(orders!$D960,products!$A$1:$A$49,0),MATCH($L$1,products!$A$1:$G$1,0))</f>
        <v>3.8849999999999998</v>
      </c>
      <c r="M960">
        <f t="shared" si="43"/>
        <v>7.77</v>
      </c>
      <c r="N960" t="str">
        <f t="shared" si="44"/>
        <v>Arabica</v>
      </c>
      <c r="O960" t="str">
        <f t="shared" si="45"/>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_xlfn.XLOOKUP(C961,customers!$A$2:$A$1001,customers!$B$2:$B$1001,0)</f>
        <v>Rhodie Strathern</v>
      </c>
      <c r="G961" s="2" t="str">
        <f>_xlfn.XLOOKUP(C961,customers!$A$2:$A$1001,customers!$C$2:$C$1001,0)</f>
        <v>rstrathernqn@devhub.com</v>
      </c>
      <c r="H961" s="2" t="str">
        <f>_xlfn.XLOOKUP(orders!C961,customers!$A$2:$A$1001,customers!$G$2:$G$1001,0)</f>
        <v>United States</v>
      </c>
      <c r="I961" t="str">
        <f>INDEX(products!$A$1:$G$49,MATCH(orders!$D961,products!$A$1:$A$49,0),MATCH($I$1,products!$A$1:$G$1,0))</f>
        <v>Lib</v>
      </c>
      <c r="J961" t="str">
        <f>INDEX(products!$A$1:$G$49,MATCH(orders!$D961,products!$A$1:$A$49,0),MATCH($J$1,products!$A$1:$G$1,0))</f>
        <v>L</v>
      </c>
      <c r="K961" s="1">
        <f>INDEX(products!$A$1:$G$49,MATCH(orders!$D961,products!$A$1:$A$49,0),MATCH($K$1,products!$A$1:$G$1,0))</f>
        <v>0.2</v>
      </c>
      <c r="L961">
        <f>INDEX(products!$A$1:$G$49,MATCH(orders!$D961,products!$A$1:$A$49,0),MATCH($L$1,products!$A$1:$G$1,0))</f>
        <v>4.7549999999999999</v>
      </c>
      <c r="M961">
        <f t="shared" si="43"/>
        <v>23.774999999999999</v>
      </c>
      <c r="N961" t="str">
        <f t="shared" si="44"/>
        <v>Liberica</v>
      </c>
      <c r="O961" t="str">
        <f t="shared" si="45"/>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_xlfn.XLOOKUP(C962,customers!$A$2:$A$1001,customers!$B$2:$B$1001,0)</f>
        <v>Chad Miguel</v>
      </c>
      <c r="G962" s="2" t="str">
        <f>_xlfn.XLOOKUP(C962,customers!$A$2:$A$1001,customers!$C$2:$C$1001,0)</f>
        <v>cmiguelqo@exblog.jp</v>
      </c>
      <c r="H962" s="2" t="str">
        <f>_xlfn.XLOOKUP(orders!C962,customers!$A$2:$A$1001,customers!$G$2:$G$1001,0)</f>
        <v>United States</v>
      </c>
      <c r="I962" t="str">
        <f>INDEX(products!$A$1:$G$49,MATCH(orders!$D962,products!$A$1:$A$49,0),MATCH($I$1,products!$A$1:$G$1,0))</f>
        <v>Lib</v>
      </c>
      <c r="J962" t="str">
        <f>INDEX(products!$A$1:$G$49,MATCH(orders!$D962,products!$A$1:$A$49,0),MATCH($J$1,products!$A$1:$G$1,0))</f>
        <v>L</v>
      </c>
      <c r="K962" s="1">
        <f>INDEX(products!$A$1:$G$49,MATCH(orders!$D962,products!$A$1:$A$49,0),MATCH($K$1,products!$A$1:$G$1,0))</f>
        <v>1</v>
      </c>
      <c r="L962">
        <f>INDEX(products!$A$1:$G$49,MATCH(orders!$D962,products!$A$1:$A$49,0),MATCH($L$1,products!$A$1:$G$1,0))</f>
        <v>15.85</v>
      </c>
      <c r="M962">
        <f t="shared" si="43"/>
        <v>79.25</v>
      </c>
      <c r="N962" t="str">
        <f t="shared" si="44"/>
        <v>Liberica</v>
      </c>
      <c r="O962" t="str">
        <f t="shared" si="45"/>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_xlfn.XLOOKUP(C963,customers!$A$2:$A$1001,customers!$B$2:$B$1001,0)</f>
        <v>Florinda Matusovsky</v>
      </c>
      <c r="G963" s="2">
        <f>_xlfn.XLOOKUP(C963,customers!$A$2:$A$1001,customers!$C$2:$C$1001,0)</f>
        <v>0</v>
      </c>
      <c r="H963" s="2" t="str">
        <f>_xlfn.XLOOKUP(orders!C963,customers!$A$2:$A$1001,customers!$G$2:$G$1001,0)</f>
        <v>United States</v>
      </c>
      <c r="I963" t="str">
        <f>INDEX(products!$A$1:$G$49,MATCH(orders!$D963,products!$A$1:$A$49,0),MATCH($I$1,products!$A$1:$G$1,0))</f>
        <v>Ara</v>
      </c>
      <c r="J963" t="str">
        <f>INDEX(products!$A$1:$G$49,MATCH(orders!$D963,products!$A$1:$A$49,0),MATCH($J$1,products!$A$1:$G$1,0))</f>
        <v>D</v>
      </c>
      <c r="K963" s="1">
        <f>INDEX(products!$A$1:$G$49,MATCH(orders!$D963,products!$A$1:$A$49,0),MATCH($K$1,products!$A$1:$G$1,0))</f>
        <v>2.5</v>
      </c>
      <c r="L963">
        <f>INDEX(products!$A$1:$G$49,MATCH(orders!$D963,products!$A$1:$A$49,0),MATCH($L$1,products!$A$1:$G$1,0))</f>
        <v>22.884999999999998</v>
      </c>
      <c r="M963">
        <f t="shared" ref="M963:M1001" si="46">L963*E963</f>
        <v>45.769999999999996</v>
      </c>
      <c r="N963" t="str">
        <f t="shared" ref="N963:N1001" si="47">IF(I963="Rob","Robusta",IF(I963="Exc","Excelsa",IF(I963="Ara","Arabica",IF(I963="Lib","Liberica",""))))</f>
        <v>Arabica</v>
      </c>
      <c r="O963" t="str">
        <f t="shared" ref="O963:O1001" si="48">IF(J963="M", "Medium", IF(J963="L","Light", IF(J963="D", "Dark","")))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_xlfn.XLOOKUP(C964,customers!$A$2:$A$1001,customers!$B$2:$B$1001,0)</f>
        <v>Morly Rocks</v>
      </c>
      <c r="G964" s="2" t="str">
        <f>_xlfn.XLOOKUP(C964,customers!$A$2:$A$1001,customers!$C$2:$C$1001,0)</f>
        <v>mrocksqq@exblog.jp</v>
      </c>
      <c r="H964" s="2" t="str">
        <f>_xlfn.XLOOKUP(orders!C964,customers!$A$2:$A$1001,customers!$G$2:$G$1001,0)</f>
        <v>Ireland</v>
      </c>
      <c r="I964" t="str">
        <f>INDEX(products!$A$1:$G$49,MATCH(orders!$D964,products!$A$1:$A$49,0),MATCH($I$1,products!$A$1:$G$1,0))</f>
        <v>Rob</v>
      </c>
      <c r="J964" t="str">
        <f>INDEX(products!$A$1:$G$49,MATCH(orders!$D964,products!$A$1:$A$49,0),MATCH($J$1,products!$A$1:$G$1,0))</f>
        <v>D</v>
      </c>
      <c r="K964" s="1">
        <f>INDEX(products!$A$1:$G$49,MATCH(orders!$D964,products!$A$1:$A$49,0),MATCH($K$1,products!$A$1:$G$1,0))</f>
        <v>1</v>
      </c>
      <c r="L964">
        <f>INDEX(products!$A$1:$G$49,MATCH(orders!$D964,products!$A$1:$A$49,0),MATCH($L$1,products!$A$1:$G$1,0))</f>
        <v>8.9499999999999993</v>
      </c>
      <c r="M964">
        <f t="shared" si="46"/>
        <v>8.9499999999999993</v>
      </c>
      <c r="N964" t="str">
        <f t="shared" si="47"/>
        <v>Robusta</v>
      </c>
      <c r="O964" t="str">
        <f t="shared" si="48"/>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_xlfn.XLOOKUP(C965,customers!$A$2:$A$1001,customers!$B$2:$B$1001,0)</f>
        <v>Yuri Burrells</v>
      </c>
      <c r="G965" s="2" t="str">
        <f>_xlfn.XLOOKUP(C965,customers!$A$2:$A$1001,customers!$C$2:$C$1001,0)</f>
        <v>yburrellsqr@vinaora.com</v>
      </c>
      <c r="H965" s="2" t="str">
        <f>_xlfn.XLOOKUP(orders!C965,customers!$A$2:$A$1001,customers!$G$2:$G$1001,0)</f>
        <v>United States</v>
      </c>
      <c r="I965" t="str">
        <f>INDEX(products!$A$1:$G$49,MATCH(orders!$D965,products!$A$1:$A$49,0),MATCH($I$1,products!$A$1:$G$1,0))</f>
        <v>Rob</v>
      </c>
      <c r="J965" t="str">
        <f>INDEX(products!$A$1:$G$49,MATCH(orders!$D965,products!$A$1:$A$49,0),MATCH($J$1,products!$A$1:$G$1,0))</f>
        <v>M</v>
      </c>
      <c r="K965" s="1">
        <f>INDEX(products!$A$1:$G$49,MATCH(orders!$D965,products!$A$1:$A$49,0),MATCH($K$1,products!$A$1:$G$1,0))</f>
        <v>0.5</v>
      </c>
      <c r="L965">
        <f>INDEX(products!$A$1:$G$49,MATCH(orders!$D965,products!$A$1:$A$49,0),MATCH($L$1,products!$A$1:$G$1,0))</f>
        <v>5.97</v>
      </c>
      <c r="M965">
        <f t="shared" si="46"/>
        <v>23.88</v>
      </c>
      <c r="N965" t="str">
        <f t="shared" si="47"/>
        <v>Robusta</v>
      </c>
      <c r="O965" t="str">
        <f t="shared" si="48"/>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_xlfn.XLOOKUP(C966,customers!$A$2:$A$1001,customers!$B$2:$B$1001,0)</f>
        <v>Cleopatra Goodrum</v>
      </c>
      <c r="G966" s="2" t="str">
        <f>_xlfn.XLOOKUP(C966,customers!$A$2:$A$1001,customers!$C$2:$C$1001,0)</f>
        <v>cgoodrumqs@goodreads.com</v>
      </c>
      <c r="H966" s="2" t="str">
        <f>_xlfn.XLOOKUP(orders!C966,customers!$A$2:$A$1001,customers!$G$2:$G$1001,0)</f>
        <v>United States</v>
      </c>
      <c r="I966" t="str">
        <f>INDEX(products!$A$1:$G$49,MATCH(orders!$D966,products!$A$1:$A$49,0),MATCH($I$1,products!$A$1:$G$1,0))</f>
        <v>Exc</v>
      </c>
      <c r="J966" t="str">
        <f>INDEX(products!$A$1:$G$49,MATCH(orders!$D966,products!$A$1:$A$49,0),MATCH($J$1,products!$A$1:$G$1,0))</f>
        <v>L</v>
      </c>
      <c r="K966" s="1">
        <f>INDEX(products!$A$1:$G$49,MATCH(orders!$D966,products!$A$1:$A$49,0),MATCH($K$1,products!$A$1:$G$1,0))</f>
        <v>0.2</v>
      </c>
      <c r="L966">
        <f>INDEX(products!$A$1:$G$49,MATCH(orders!$D966,products!$A$1:$A$49,0),MATCH($L$1,products!$A$1:$G$1,0))</f>
        <v>4.4550000000000001</v>
      </c>
      <c r="M966">
        <f t="shared" si="46"/>
        <v>22.274999999999999</v>
      </c>
      <c r="N966" t="str">
        <f t="shared" si="47"/>
        <v>Excelsa</v>
      </c>
      <c r="O966" t="str">
        <f t="shared" si="48"/>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_xlfn.XLOOKUP(C967,customers!$A$2:$A$1001,customers!$B$2:$B$1001,0)</f>
        <v>Joey Jefferys</v>
      </c>
      <c r="G967" s="2" t="str">
        <f>_xlfn.XLOOKUP(C967,customers!$A$2:$A$1001,customers!$C$2:$C$1001,0)</f>
        <v>jjefferysqt@blog.com</v>
      </c>
      <c r="H967" s="2" t="str">
        <f>_xlfn.XLOOKUP(orders!C967,customers!$A$2:$A$1001,customers!$G$2:$G$1001,0)</f>
        <v>United States</v>
      </c>
      <c r="I967" t="str">
        <f>INDEX(products!$A$1:$G$49,MATCH(orders!$D967,products!$A$1:$A$49,0),MATCH($I$1,products!$A$1:$G$1,0))</f>
        <v>Rob</v>
      </c>
      <c r="J967" t="str">
        <f>INDEX(products!$A$1:$G$49,MATCH(orders!$D967,products!$A$1:$A$49,0),MATCH($J$1,products!$A$1:$G$1,0))</f>
        <v>M</v>
      </c>
      <c r="K967" s="1">
        <f>INDEX(products!$A$1:$G$49,MATCH(orders!$D967,products!$A$1:$A$49,0),MATCH($K$1,products!$A$1:$G$1,0))</f>
        <v>1</v>
      </c>
      <c r="L967">
        <f>INDEX(products!$A$1:$G$49,MATCH(orders!$D967,products!$A$1:$A$49,0),MATCH($L$1,products!$A$1:$G$1,0))</f>
        <v>9.9499999999999993</v>
      </c>
      <c r="M967">
        <f t="shared" si="46"/>
        <v>29.849999999999998</v>
      </c>
      <c r="N967" t="str">
        <f t="shared" si="47"/>
        <v>Robusta</v>
      </c>
      <c r="O967" t="str">
        <f t="shared" si="48"/>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_xlfn.XLOOKUP(C968,customers!$A$2:$A$1001,customers!$B$2:$B$1001,0)</f>
        <v>Bearnard Wardell</v>
      </c>
      <c r="G968" s="2" t="str">
        <f>_xlfn.XLOOKUP(C968,customers!$A$2:$A$1001,customers!$C$2:$C$1001,0)</f>
        <v>bwardellqu@adobe.com</v>
      </c>
      <c r="H968" s="2" t="str">
        <f>_xlfn.XLOOKUP(orders!C968,customers!$A$2:$A$1001,customers!$G$2:$G$1001,0)</f>
        <v>United States</v>
      </c>
      <c r="I968" t="str">
        <f>INDEX(products!$A$1:$G$49,MATCH(orders!$D968,products!$A$1:$A$49,0),MATCH($I$1,products!$A$1:$G$1,0))</f>
        <v>Exc</v>
      </c>
      <c r="J968" t="str">
        <f>INDEX(products!$A$1:$G$49,MATCH(orders!$D968,products!$A$1:$A$49,0),MATCH($J$1,products!$A$1:$G$1,0))</f>
        <v>L</v>
      </c>
      <c r="K968" s="1">
        <f>INDEX(products!$A$1:$G$49,MATCH(orders!$D968,products!$A$1:$A$49,0),MATCH($K$1,products!$A$1:$G$1,0))</f>
        <v>0.5</v>
      </c>
      <c r="L968">
        <f>INDEX(products!$A$1:$G$49,MATCH(orders!$D968,products!$A$1:$A$49,0),MATCH($L$1,products!$A$1:$G$1,0))</f>
        <v>8.91</v>
      </c>
      <c r="M968">
        <f t="shared" si="46"/>
        <v>53.46</v>
      </c>
      <c r="N968" t="str">
        <f t="shared" si="47"/>
        <v>Excelsa</v>
      </c>
      <c r="O968" t="str">
        <f t="shared" si="48"/>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_xlfn.XLOOKUP(C969,customers!$A$2:$A$1001,customers!$B$2:$B$1001,0)</f>
        <v>Zeke Walisiak</v>
      </c>
      <c r="G969" s="2" t="str">
        <f>_xlfn.XLOOKUP(C969,customers!$A$2:$A$1001,customers!$C$2:$C$1001,0)</f>
        <v>zwalisiakqv@ucsd.edu</v>
      </c>
      <c r="H969" s="2" t="str">
        <f>_xlfn.XLOOKUP(orders!C969,customers!$A$2:$A$1001,customers!$G$2:$G$1001,0)</f>
        <v>Ireland</v>
      </c>
      <c r="I969" t="str">
        <f>INDEX(products!$A$1:$G$49,MATCH(orders!$D969,products!$A$1:$A$49,0),MATCH($I$1,products!$A$1:$G$1,0))</f>
        <v>Rob</v>
      </c>
      <c r="J969" t="str">
        <f>INDEX(products!$A$1:$G$49,MATCH(orders!$D969,products!$A$1:$A$49,0),MATCH($J$1,products!$A$1:$G$1,0))</f>
        <v>D</v>
      </c>
      <c r="K969" s="1">
        <f>INDEX(products!$A$1:$G$49,MATCH(orders!$D969,products!$A$1:$A$49,0),MATCH($K$1,products!$A$1:$G$1,0))</f>
        <v>0.2</v>
      </c>
      <c r="L969">
        <f>INDEX(products!$A$1:$G$49,MATCH(orders!$D969,products!$A$1:$A$49,0),MATCH($L$1,products!$A$1:$G$1,0))</f>
        <v>2.6849999999999996</v>
      </c>
      <c r="M969">
        <f t="shared" si="46"/>
        <v>2.6849999999999996</v>
      </c>
      <c r="N969" t="str">
        <f t="shared" si="47"/>
        <v>Robusta</v>
      </c>
      <c r="O969" t="str">
        <f t="shared" si="48"/>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_xlfn.XLOOKUP(C970,customers!$A$2:$A$1001,customers!$B$2:$B$1001,0)</f>
        <v>Wiley Leopold</v>
      </c>
      <c r="G970" s="2" t="str">
        <f>_xlfn.XLOOKUP(C970,customers!$A$2:$A$1001,customers!$C$2:$C$1001,0)</f>
        <v>wleopoldqw@blogspot.com</v>
      </c>
      <c r="H970" s="2" t="str">
        <f>_xlfn.XLOOKUP(orders!C970,customers!$A$2:$A$1001,customers!$G$2:$G$1001,0)</f>
        <v>United States</v>
      </c>
      <c r="I970" t="str">
        <f>INDEX(products!$A$1:$G$49,MATCH(orders!$D970,products!$A$1:$A$49,0),MATCH($I$1,products!$A$1:$G$1,0))</f>
        <v>Rob</v>
      </c>
      <c r="J970" t="str">
        <f>INDEX(products!$A$1:$G$49,MATCH(orders!$D970,products!$A$1:$A$49,0),MATCH($J$1,products!$A$1:$G$1,0))</f>
        <v>M</v>
      </c>
      <c r="K970" s="1">
        <f>INDEX(products!$A$1:$G$49,MATCH(orders!$D970,products!$A$1:$A$49,0),MATCH($K$1,products!$A$1:$G$1,0))</f>
        <v>0.2</v>
      </c>
      <c r="L970">
        <f>INDEX(products!$A$1:$G$49,MATCH(orders!$D970,products!$A$1:$A$49,0),MATCH($L$1,products!$A$1:$G$1,0))</f>
        <v>2.9849999999999999</v>
      </c>
      <c r="M970">
        <f t="shared" si="46"/>
        <v>5.97</v>
      </c>
      <c r="N970" t="str">
        <f t="shared" si="47"/>
        <v>Robusta</v>
      </c>
      <c r="O970" t="str">
        <f t="shared" si="48"/>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_xlfn.XLOOKUP(C971,customers!$A$2:$A$1001,customers!$B$2:$B$1001,0)</f>
        <v>Chiarra Shalders</v>
      </c>
      <c r="G971" s="2" t="str">
        <f>_xlfn.XLOOKUP(C971,customers!$A$2:$A$1001,customers!$C$2:$C$1001,0)</f>
        <v>cshaldersqx@cisco.com</v>
      </c>
      <c r="H971" s="2" t="str">
        <f>_xlfn.XLOOKUP(orders!C971,customers!$A$2:$A$1001,customers!$G$2:$G$1001,0)</f>
        <v>United States</v>
      </c>
      <c r="I971" t="str">
        <f>INDEX(products!$A$1:$G$49,MATCH(orders!$D971,products!$A$1:$A$49,0),MATCH($I$1,products!$A$1:$G$1,0))</f>
        <v>Lib</v>
      </c>
      <c r="J971" t="str">
        <f>INDEX(products!$A$1:$G$49,MATCH(orders!$D971,products!$A$1:$A$49,0),MATCH($J$1,products!$A$1:$G$1,0))</f>
        <v>D</v>
      </c>
      <c r="K971" s="1">
        <f>INDEX(products!$A$1:$G$49,MATCH(orders!$D971,products!$A$1:$A$49,0),MATCH($K$1,products!$A$1:$G$1,0))</f>
        <v>1</v>
      </c>
      <c r="L971">
        <f>INDEX(products!$A$1:$G$49,MATCH(orders!$D971,products!$A$1:$A$49,0),MATCH($L$1,products!$A$1:$G$1,0))</f>
        <v>12.95</v>
      </c>
      <c r="M971">
        <f t="shared" si="46"/>
        <v>12.95</v>
      </c>
      <c r="N971" t="str">
        <f t="shared" si="47"/>
        <v>Liberica</v>
      </c>
      <c r="O971" t="str">
        <f t="shared" si="48"/>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_xlfn.XLOOKUP(C972,customers!$A$2:$A$1001,customers!$B$2:$B$1001,0)</f>
        <v>Sharl Southerill</v>
      </c>
      <c r="G972" s="2">
        <f>_xlfn.XLOOKUP(C972,customers!$A$2:$A$1001,customers!$C$2:$C$1001,0)</f>
        <v>0</v>
      </c>
      <c r="H972" s="2" t="str">
        <f>_xlfn.XLOOKUP(orders!C972,customers!$A$2:$A$1001,customers!$G$2:$G$1001,0)</f>
        <v>United States</v>
      </c>
      <c r="I972" t="str">
        <f>INDEX(products!$A$1:$G$49,MATCH(orders!$D972,products!$A$1:$A$49,0),MATCH($I$1,products!$A$1:$G$1,0))</f>
        <v>Exc</v>
      </c>
      <c r="J972" t="str">
        <f>INDEX(products!$A$1:$G$49,MATCH(orders!$D972,products!$A$1:$A$49,0),MATCH($J$1,products!$A$1:$G$1,0))</f>
        <v>M</v>
      </c>
      <c r="K972" s="1">
        <f>INDEX(products!$A$1:$G$49,MATCH(orders!$D972,products!$A$1:$A$49,0),MATCH($K$1,products!$A$1:$G$1,0))</f>
        <v>0.5</v>
      </c>
      <c r="L972">
        <f>INDEX(products!$A$1:$G$49,MATCH(orders!$D972,products!$A$1:$A$49,0),MATCH($L$1,products!$A$1:$G$1,0))</f>
        <v>8.25</v>
      </c>
      <c r="M972">
        <f t="shared" si="46"/>
        <v>8.25</v>
      </c>
      <c r="N972" t="str">
        <f t="shared" si="47"/>
        <v>Excelsa</v>
      </c>
      <c r="O972" t="str">
        <f t="shared" si="48"/>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_xlfn.XLOOKUP(C973,customers!$A$2:$A$1001,customers!$B$2:$B$1001,0)</f>
        <v>Noni Furber</v>
      </c>
      <c r="G973" s="2" t="str">
        <f>_xlfn.XLOOKUP(C973,customers!$A$2:$A$1001,customers!$C$2:$C$1001,0)</f>
        <v>nfurberqz@jugem.jp</v>
      </c>
      <c r="H973" s="2" t="str">
        <f>_xlfn.XLOOKUP(orders!C973,customers!$A$2:$A$1001,customers!$G$2:$G$1001,0)</f>
        <v>United States</v>
      </c>
      <c r="I973" t="str">
        <f>INDEX(products!$A$1:$G$49,MATCH(orders!$D973,products!$A$1:$A$49,0),MATCH($I$1,products!$A$1:$G$1,0))</f>
        <v>Ara</v>
      </c>
      <c r="J973" t="str">
        <f>INDEX(products!$A$1:$G$49,MATCH(orders!$D973,products!$A$1:$A$49,0),MATCH($J$1,products!$A$1:$G$1,0))</f>
        <v>L</v>
      </c>
      <c r="K973" s="1">
        <f>INDEX(products!$A$1:$G$49,MATCH(orders!$D973,products!$A$1:$A$49,0),MATCH($K$1,products!$A$1:$G$1,0))</f>
        <v>2.5</v>
      </c>
      <c r="L973">
        <f>INDEX(products!$A$1:$G$49,MATCH(orders!$D973,products!$A$1:$A$49,0),MATCH($L$1,products!$A$1:$G$1,0))</f>
        <v>29.784999999999997</v>
      </c>
      <c r="M973">
        <f t="shared" si="46"/>
        <v>148.92499999999998</v>
      </c>
      <c r="N973" t="str">
        <f t="shared" si="47"/>
        <v>Arabica</v>
      </c>
      <c r="O973" t="str">
        <f t="shared" si="48"/>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_xlfn.XLOOKUP(C974,customers!$A$2:$A$1001,customers!$B$2:$B$1001,0)</f>
        <v>Dinah Crutcher</v>
      </c>
      <c r="G974" s="2">
        <f>_xlfn.XLOOKUP(C974,customers!$A$2:$A$1001,customers!$C$2:$C$1001,0)</f>
        <v>0</v>
      </c>
      <c r="H974" s="2" t="str">
        <f>_xlfn.XLOOKUP(orders!C974,customers!$A$2:$A$1001,customers!$G$2:$G$1001,0)</f>
        <v>Ireland</v>
      </c>
      <c r="I974" t="str">
        <f>INDEX(products!$A$1:$G$49,MATCH(orders!$D974,products!$A$1:$A$49,0),MATCH($I$1,products!$A$1:$G$1,0))</f>
        <v>Ara</v>
      </c>
      <c r="J974" t="str">
        <f>INDEX(products!$A$1:$G$49,MATCH(orders!$D974,products!$A$1:$A$49,0),MATCH($J$1,products!$A$1:$G$1,0))</f>
        <v>L</v>
      </c>
      <c r="K974" s="1">
        <f>INDEX(products!$A$1:$G$49,MATCH(orders!$D974,products!$A$1:$A$49,0),MATCH($K$1,products!$A$1:$G$1,0))</f>
        <v>2.5</v>
      </c>
      <c r="L974">
        <f>INDEX(products!$A$1:$G$49,MATCH(orders!$D974,products!$A$1:$A$49,0),MATCH($L$1,products!$A$1:$G$1,0))</f>
        <v>29.784999999999997</v>
      </c>
      <c r="M974">
        <f t="shared" si="46"/>
        <v>89.35499999999999</v>
      </c>
      <c r="N974" t="str">
        <f t="shared" si="47"/>
        <v>Arabica</v>
      </c>
      <c r="O974" t="str">
        <f t="shared" si="48"/>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_xlfn.XLOOKUP(C975,customers!$A$2:$A$1001,customers!$B$2:$B$1001,0)</f>
        <v>Charlean Keave</v>
      </c>
      <c r="G975" s="2" t="str">
        <f>_xlfn.XLOOKUP(C975,customers!$A$2:$A$1001,customers!$C$2:$C$1001,0)</f>
        <v>ckeaver1@ucoz.com</v>
      </c>
      <c r="H975" s="2" t="str">
        <f>_xlfn.XLOOKUP(orders!C975,customers!$A$2:$A$1001,customers!$G$2:$G$1001,0)</f>
        <v>United States</v>
      </c>
      <c r="I975" t="str">
        <f>INDEX(products!$A$1:$G$49,MATCH(orders!$D975,products!$A$1:$A$49,0),MATCH($I$1,products!$A$1:$G$1,0))</f>
        <v>Lib</v>
      </c>
      <c r="J975" t="str">
        <f>INDEX(products!$A$1:$G$49,MATCH(orders!$D975,products!$A$1:$A$49,0),MATCH($J$1,products!$A$1:$G$1,0))</f>
        <v>M</v>
      </c>
      <c r="K975" s="1">
        <f>INDEX(products!$A$1:$G$49,MATCH(orders!$D975,products!$A$1:$A$49,0),MATCH($K$1,products!$A$1:$G$1,0))</f>
        <v>1</v>
      </c>
      <c r="L975">
        <f>INDEX(products!$A$1:$G$49,MATCH(orders!$D975,products!$A$1:$A$49,0),MATCH($L$1,products!$A$1:$G$1,0))</f>
        <v>14.55</v>
      </c>
      <c r="M975">
        <f t="shared" si="46"/>
        <v>87.300000000000011</v>
      </c>
      <c r="N975" t="str">
        <f t="shared" si="47"/>
        <v>Liberica</v>
      </c>
      <c r="O975" t="str">
        <f t="shared" si="48"/>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_xlfn.XLOOKUP(C976,customers!$A$2:$A$1001,customers!$B$2:$B$1001,0)</f>
        <v>Sada Roseborough</v>
      </c>
      <c r="G976" s="2" t="str">
        <f>_xlfn.XLOOKUP(C976,customers!$A$2:$A$1001,customers!$C$2:$C$1001,0)</f>
        <v>sroseboroughr2@virginia.edu</v>
      </c>
      <c r="H976" s="2" t="str">
        <f>_xlfn.XLOOKUP(orders!C976,customers!$A$2:$A$1001,customers!$G$2:$G$1001,0)</f>
        <v>United States</v>
      </c>
      <c r="I976" t="str">
        <f>INDEX(products!$A$1:$G$49,MATCH(orders!$D976,products!$A$1:$A$49,0),MATCH($I$1,products!$A$1:$G$1,0))</f>
        <v>Rob</v>
      </c>
      <c r="J976" t="str">
        <f>INDEX(products!$A$1:$G$49,MATCH(orders!$D976,products!$A$1:$A$49,0),MATCH($J$1,products!$A$1:$G$1,0))</f>
        <v>D</v>
      </c>
      <c r="K976" s="1">
        <f>INDEX(products!$A$1:$G$49,MATCH(orders!$D976,products!$A$1:$A$49,0),MATCH($K$1,products!$A$1:$G$1,0))</f>
        <v>0.5</v>
      </c>
      <c r="L976">
        <f>INDEX(products!$A$1:$G$49,MATCH(orders!$D976,products!$A$1:$A$49,0),MATCH($L$1,products!$A$1:$G$1,0))</f>
        <v>5.3699999999999992</v>
      </c>
      <c r="M976">
        <f t="shared" si="46"/>
        <v>5.3699999999999992</v>
      </c>
      <c r="N976" t="str">
        <f t="shared" si="47"/>
        <v>Robusta</v>
      </c>
      <c r="O976" t="str">
        <f t="shared" si="48"/>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_xlfn.XLOOKUP(C977,customers!$A$2:$A$1001,customers!$B$2:$B$1001,0)</f>
        <v>Clayton Kingwell</v>
      </c>
      <c r="G977" s="2" t="str">
        <f>_xlfn.XLOOKUP(C977,customers!$A$2:$A$1001,customers!$C$2:$C$1001,0)</f>
        <v>ckingwellr3@squarespace.com</v>
      </c>
      <c r="H977" s="2" t="str">
        <f>_xlfn.XLOOKUP(orders!C977,customers!$A$2:$A$1001,customers!$G$2:$G$1001,0)</f>
        <v>Ireland</v>
      </c>
      <c r="I977" t="str">
        <f>INDEX(products!$A$1:$G$49,MATCH(orders!$D977,products!$A$1:$A$49,0),MATCH($I$1,products!$A$1:$G$1,0))</f>
        <v>Ara</v>
      </c>
      <c r="J977" t="str">
        <f>INDEX(products!$A$1:$G$49,MATCH(orders!$D977,products!$A$1:$A$49,0),MATCH($J$1,products!$A$1:$G$1,0))</f>
        <v>D</v>
      </c>
      <c r="K977" s="1">
        <f>INDEX(products!$A$1:$G$49,MATCH(orders!$D977,products!$A$1:$A$49,0),MATCH($K$1,products!$A$1:$G$1,0))</f>
        <v>0.2</v>
      </c>
      <c r="L977">
        <f>INDEX(products!$A$1:$G$49,MATCH(orders!$D977,products!$A$1:$A$49,0),MATCH($L$1,products!$A$1:$G$1,0))</f>
        <v>2.9849999999999999</v>
      </c>
      <c r="M977">
        <f t="shared" si="46"/>
        <v>8.9550000000000001</v>
      </c>
      <c r="N977" t="str">
        <f t="shared" si="47"/>
        <v>Arabica</v>
      </c>
      <c r="O977" t="str">
        <f t="shared" si="48"/>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_xlfn.XLOOKUP(C978,customers!$A$2:$A$1001,customers!$B$2:$B$1001,0)</f>
        <v>Kacy Canto</v>
      </c>
      <c r="G978" s="2" t="str">
        <f>_xlfn.XLOOKUP(C978,customers!$A$2:$A$1001,customers!$C$2:$C$1001,0)</f>
        <v>kcantor4@gmpg.org</v>
      </c>
      <c r="H978" s="2" t="str">
        <f>_xlfn.XLOOKUP(orders!C978,customers!$A$2:$A$1001,customers!$G$2:$G$1001,0)</f>
        <v>United States</v>
      </c>
      <c r="I978" t="str">
        <f>INDEX(products!$A$1:$G$49,MATCH(orders!$D978,products!$A$1:$A$49,0),MATCH($I$1,products!$A$1:$G$1,0))</f>
        <v>Rob</v>
      </c>
      <c r="J978" t="str">
        <f>INDEX(products!$A$1:$G$49,MATCH(orders!$D978,products!$A$1:$A$49,0),MATCH($J$1,products!$A$1:$G$1,0))</f>
        <v>L</v>
      </c>
      <c r="K978" s="1">
        <f>INDEX(products!$A$1:$G$49,MATCH(orders!$D978,products!$A$1:$A$49,0),MATCH($K$1,products!$A$1:$G$1,0))</f>
        <v>2.5</v>
      </c>
      <c r="L978">
        <f>INDEX(products!$A$1:$G$49,MATCH(orders!$D978,products!$A$1:$A$49,0),MATCH($L$1,products!$A$1:$G$1,0))</f>
        <v>27.484999999999996</v>
      </c>
      <c r="M978">
        <f t="shared" si="46"/>
        <v>137.42499999999998</v>
      </c>
      <c r="N978" t="str">
        <f t="shared" si="47"/>
        <v>Robusta</v>
      </c>
      <c r="O978" t="str">
        <f t="shared" si="48"/>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_xlfn.XLOOKUP(C979,customers!$A$2:$A$1001,customers!$B$2:$B$1001,0)</f>
        <v>Mab Blakemore</v>
      </c>
      <c r="G979" s="2" t="str">
        <f>_xlfn.XLOOKUP(C979,customers!$A$2:$A$1001,customers!$C$2:$C$1001,0)</f>
        <v>mblakemorer5@nsw.gov.au</v>
      </c>
      <c r="H979" s="2" t="str">
        <f>_xlfn.XLOOKUP(orders!C979,customers!$A$2:$A$1001,customers!$G$2:$G$1001,0)</f>
        <v>United States</v>
      </c>
      <c r="I979" t="str">
        <f>INDEX(products!$A$1:$G$49,MATCH(orders!$D979,products!$A$1:$A$49,0),MATCH($I$1,products!$A$1:$G$1,0))</f>
        <v>Rob</v>
      </c>
      <c r="J979" t="str">
        <f>INDEX(products!$A$1:$G$49,MATCH(orders!$D979,products!$A$1:$A$49,0),MATCH($J$1,products!$A$1:$G$1,0))</f>
        <v>L</v>
      </c>
      <c r="K979" s="1">
        <f>INDEX(products!$A$1:$G$49,MATCH(orders!$D979,products!$A$1:$A$49,0),MATCH($K$1,products!$A$1:$G$1,0))</f>
        <v>1</v>
      </c>
      <c r="L979">
        <f>INDEX(products!$A$1:$G$49,MATCH(orders!$D979,products!$A$1:$A$49,0),MATCH($L$1,products!$A$1:$G$1,0))</f>
        <v>11.95</v>
      </c>
      <c r="M979">
        <f t="shared" si="46"/>
        <v>59.75</v>
      </c>
      <c r="N979" t="str">
        <f t="shared" si="47"/>
        <v>Robusta</v>
      </c>
      <c r="O979" t="str">
        <f t="shared" si="48"/>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_xlfn.XLOOKUP(C980,customers!$A$2:$A$1001,customers!$B$2:$B$1001,0)</f>
        <v>Charlean Keave</v>
      </c>
      <c r="G980" s="2" t="str">
        <f>_xlfn.XLOOKUP(C980,customers!$A$2:$A$1001,customers!$C$2:$C$1001,0)</f>
        <v>ckeaver1@ucoz.com</v>
      </c>
      <c r="H980" s="2" t="str">
        <f>_xlfn.XLOOKUP(orders!C980,customers!$A$2:$A$1001,customers!$G$2:$G$1001,0)</f>
        <v>United States</v>
      </c>
      <c r="I980" t="str">
        <f>INDEX(products!$A$1:$G$49,MATCH(orders!$D980,products!$A$1:$A$49,0),MATCH($I$1,products!$A$1:$G$1,0))</f>
        <v>Ara</v>
      </c>
      <c r="J980" t="str">
        <f>INDEX(products!$A$1:$G$49,MATCH(orders!$D980,products!$A$1:$A$49,0),MATCH($J$1,products!$A$1:$G$1,0))</f>
        <v>L</v>
      </c>
      <c r="K980" s="1">
        <f>INDEX(products!$A$1:$G$49,MATCH(orders!$D980,products!$A$1:$A$49,0),MATCH($K$1,products!$A$1:$G$1,0))</f>
        <v>0.5</v>
      </c>
      <c r="L980">
        <f>INDEX(products!$A$1:$G$49,MATCH(orders!$D980,products!$A$1:$A$49,0),MATCH($L$1,products!$A$1:$G$1,0))</f>
        <v>7.77</v>
      </c>
      <c r="M980">
        <f t="shared" si="46"/>
        <v>23.31</v>
      </c>
      <c r="N980" t="str">
        <f t="shared" si="47"/>
        <v>Arabica</v>
      </c>
      <c r="O980" t="str">
        <f t="shared" si="48"/>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_xlfn.XLOOKUP(C981,customers!$A$2:$A$1001,customers!$B$2:$B$1001,0)</f>
        <v>Javier Causnett</v>
      </c>
      <c r="G981" s="2">
        <f>_xlfn.XLOOKUP(C981,customers!$A$2:$A$1001,customers!$C$2:$C$1001,0)</f>
        <v>0</v>
      </c>
      <c r="H981" s="2" t="str">
        <f>_xlfn.XLOOKUP(orders!C981,customers!$A$2:$A$1001,customers!$G$2:$G$1001,0)</f>
        <v>United States</v>
      </c>
      <c r="I981" t="str">
        <f>INDEX(products!$A$1:$G$49,MATCH(orders!$D981,products!$A$1:$A$49,0),MATCH($I$1,products!$A$1:$G$1,0))</f>
        <v>Rob</v>
      </c>
      <c r="J981" t="str">
        <f>INDEX(products!$A$1:$G$49,MATCH(orders!$D981,products!$A$1:$A$49,0),MATCH($J$1,products!$A$1:$G$1,0))</f>
        <v>D</v>
      </c>
      <c r="K981" s="1">
        <f>INDEX(products!$A$1:$G$49,MATCH(orders!$D981,products!$A$1:$A$49,0),MATCH($K$1,products!$A$1:$G$1,0))</f>
        <v>0.5</v>
      </c>
      <c r="L981">
        <f>INDEX(products!$A$1:$G$49,MATCH(orders!$D981,products!$A$1:$A$49,0),MATCH($L$1,products!$A$1:$G$1,0))</f>
        <v>5.3699999999999992</v>
      </c>
      <c r="M981">
        <f t="shared" si="46"/>
        <v>10.739999999999998</v>
      </c>
      <c r="N981" t="str">
        <f t="shared" si="47"/>
        <v>Robusta</v>
      </c>
      <c r="O981" t="str">
        <f t="shared" si="48"/>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_xlfn.XLOOKUP(C982,customers!$A$2:$A$1001,customers!$B$2:$B$1001,0)</f>
        <v>Demetris Micheli</v>
      </c>
      <c r="G982" s="2">
        <f>_xlfn.XLOOKUP(C982,customers!$A$2:$A$1001,customers!$C$2:$C$1001,0)</f>
        <v>0</v>
      </c>
      <c r="H982" s="2" t="str">
        <f>_xlfn.XLOOKUP(orders!C982,customers!$A$2:$A$1001,customers!$G$2:$G$1001,0)</f>
        <v>United States</v>
      </c>
      <c r="I982" t="str">
        <f>INDEX(products!$A$1:$G$49,MATCH(orders!$D982,products!$A$1:$A$49,0),MATCH($I$1,products!$A$1:$G$1,0))</f>
        <v>Exc</v>
      </c>
      <c r="J982" t="str">
        <f>INDEX(products!$A$1:$G$49,MATCH(orders!$D982,products!$A$1:$A$49,0),MATCH($J$1,products!$A$1:$G$1,0))</f>
        <v>D</v>
      </c>
      <c r="K982" s="1">
        <f>INDEX(products!$A$1:$G$49,MATCH(orders!$D982,products!$A$1:$A$49,0),MATCH($K$1,products!$A$1:$G$1,0))</f>
        <v>2.5</v>
      </c>
      <c r="L982">
        <f>INDEX(products!$A$1:$G$49,MATCH(orders!$D982,products!$A$1:$A$49,0),MATCH($L$1,products!$A$1:$G$1,0))</f>
        <v>27.945</v>
      </c>
      <c r="M982">
        <f t="shared" si="46"/>
        <v>167.67000000000002</v>
      </c>
      <c r="N982" t="str">
        <f t="shared" si="47"/>
        <v>Excelsa</v>
      </c>
      <c r="O982" t="str">
        <f t="shared" si="48"/>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_xlfn.XLOOKUP(C983,customers!$A$2:$A$1001,customers!$B$2:$B$1001,0)</f>
        <v>Chloette Bernardot</v>
      </c>
      <c r="G983" s="2" t="str">
        <f>_xlfn.XLOOKUP(C983,customers!$A$2:$A$1001,customers!$C$2:$C$1001,0)</f>
        <v>cbernardotr9@wix.com</v>
      </c>
      <c r="H983" s="2" t="str">
        <f>_xlfn.XLOOKUP(orders!C983,customers!$A$2:$A$1001,customers!$G$2:$G$1001,0)</f>
        <v>United States</v>
      </c>
      <c r="I983" t="str">
        <f>INDEX(products!$A$1:$G$49,MATCH(orders!$D983,products!$A$1:$A$49,0),MATCH($I$1,products!$A$1:$G$1,0))</f>
        <v>Exc</v>
      </c>
      <c r="J983" t="str">
        <f>INDEX(products!$A$1:$G$49,MATCH(orders!$D983,products!$A$1:$A$49,0),MATCH($J$1,products!$A$1:$G$1,0))</f>
        <v>D</v>
      </c>
      <c r="K983" s="1">
        <f>INDEX(products!$A$1:$G$49,MATCH(orders!$D983,products!$A$1:$A$49,0),MATCH($K$1,products!$A$1:$G$1,0))</f>
        <v>0.2</v>
      </c>
      <c r="L983">
        <f>INDEX(products!$A$1:$G$49,MATCH(orders!$D983,products!$A$1:$A$49,0),MATCH($L$1,products!$A$1:$G$1,0))</f>
        <v>3.645</v>
      </c>
      <c r="M983">
        <f t="shared" si="46"/>
        <v>21.87</v>
      </c>
      <c r="N983" t="str">
        <f t="shared" si="47"/>
        <v>Excelsa</v>
      </c>
      <c r="O983" t="str">
        <f t="shared" si="48"/>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_xlfn.XLOOKUP(C984,customers!$A$2:$A$1001,customers!$B$2:$B$1001,0)</f>
        <v>Kim Kemery</v>
      </c>
      <c r="G984" s="2" t="str">
        <f>_xlfn.XLOOKUP(C984,customers!$A$2:$A$1001,customers!$C$2:$C$1001,0)</f>
        <v>kkemeryra@t.co</v>
      </c>
      <c r="H984" s="2" t="str">
        <f>_xlfn.XLOOKUP(orders!C984,customers!$A$2:$A$1001,customers!$G$2:$G$1001,0)</f>
        <v>United States</v>
      </c>
      <c r="I984" t="str">
        <f>INDEX(products!$A$1:$G$49,MATCH(orders!$D984,products!$A$1:$A$49,0),MATCH($I$1,products!$A$1:$G$1,0))</f>
        <v>Rob</v>
      </c>
      <c r="J984" t="str">
        <f>INDEX(products!$A$1:$G$49,MATCH(orders!$D984,products!$A$1:$A$49,0),MATCH($J$1,products!$A$1:$G$1,0))</f>
        <v>L</v>
      </c>
      <c r="K984" s="1">
        <f>INDEX(products!$A$1:$G$49,MATCH(orders!$D984,products!$A$1:$A$49,0),MATCH($K$1,products!$A$1:$G$1,0))</f>
        <v>1</v>
      </c>
      <c r="L984">
        <f>INDEX(products!$A$1:$G$49,MATCH(orders!$D984,products!$A$1:$A$49,0),MATCH($L$1,products!$A$1:$G$1,0))</f>
        <v>11.95</v>
      </c>
      <c r="M984">
        <f t="shared" si="46"/>
        <v>23.9</v>
      </c>
      <c r="N984" t="str">
        <f t="shared" si="47"/>
        <v>Robusta</v>
      </c>
      <c r="O984" t="str">
        <f t="shared" si="48"/>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_xlfn.XLOOKUP(C985,customers!$A$2:$A$1001,customers!$B$2:$B$1001,0)</f>
        <v>Fanchette Parlot</v>
      </c>
      <c r="G985" s="2" t="str">
        <f>_xlfn.XLOOKUP(C985,customers!$A$2:$A$1001,customers!$C$2:$C$1001,0)</f>
        <v>fparlotrb@forbes.com</v>
      </c>
      <c r="H985" s="2" t="str">
        <f>_xlfn.XLOOKUP(orders!C985,customers!$A$2:$A$1001,customers!$G$2:$G$1001,0)</f>
        <v>United States</v>
      </c>
      <c r="I985" t="str">
        <f>INDEX(products!$A$1:$G$49,MATCH(orders!$D985,products!$A$1:$A$49,0),MATCH($I$1,products!$A$1:$G$1,0))</f>
        <v>Ara</v>
      </c>
      <c r="J985" t="str">
        <f>INDEX(products!$A$1:$G$49,MATCH(orders!$D985,products!$A$1:$A$49,0),MATCH($J$1,products!$A$1:$G$1,0))</f>
        <v>M</v>
      </c>
      <c r="K985" s="1">
        <f>INDEX(products!$A$1:$G$49,MATCH(orders!$D985,products!$A$1:$A$49,0),MATCH($K$1,products!$A$1:$G$1,0))</f>
        <v>0.2</v>
      </c>
      <c r="L985">
        <f>INDEX(products!$A$1:$G$49,MATCH(orders!$D985,products!$A$1:$A$49,0),MATCH($L$1,products!$A$1:$G$1,0))</f>
        <v>3.375</v>
      </c>
      <c r="M985">
        <f t="shared" si="46"/>
        <v>6.75</v>
      </c>
      <c r="N985" t="str">
        <f t="shared" si="47"/>
        <v>Arabica</v>
      </c>
      <c r="O985" t="str">
        <f t="shared" si="48"/>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_xlfn.XLOOKUP(C986,customers!$A$2:$A$1001,customers!$B$2:$B$1001,0)</f>
        <v>Ramon Cheak</v>
      </c>
      <c r="G986" s="2" t="str">
        <f>_xlfn.XLOOKUP(C986,customers!$A$2:$A$1001,customers!$C$2:$C$1001,0)</f>
        <v>rcheakrc@tripadvisor.com</v>
      </c>
      <c r="H986" s="2" t="str">
        <f>_xlfn.XLOOKUP(orders!C986,customers!$A$2:$A$1001,customers!$G$2:$G$1001,0)</f>
        <v>Ireland</v>
      </c>
      <c r="I986" t="str">
        <f>INDEX(products!$A$1:$G$49,MATCH(orders!$D986,products!$A$1:$A$49,0),MATCH($I$1,products!$A$1:$G$1,0))</f>
        <v>Exc</v>
      </c>
      <c r="J986" t="str">
        <f>INDEX(products!$A$1:$G$49,MATCH(orders!$D986,products!$A$1:$A$49,0),MATCH($J$1,products!$A$1:$G$1,0))</f>
        <v>M</v>
      </c>
      <c r="K986" s="1">
        <f>INDEX(products!$A$1:$G$49,MATCH(orders!$D986,products!$A$1:$A$49,0),MATCH($K$1,products!$A$1:$G$1,0))</f>
        <v>2.5</v>
      </c>
      <c r="L986">
        <f>INDEX(products!$A$1:$G$49,MATCH(orders!$D986,products!$A$1:$A$49,0),MATCH($L$1,products!$A$1:$G$1,0))</f>
        <v>31.624999999999996</v>
      </c>
      <c r="M986">
        <f t="shared" si="46"/>
        <v>31.624999999999996</v>
      </c>
      <c r="N986" t="str">
        <f t="shared" si="47"/>
        <v>Excelsa</v>
      </c>
      <c r="O986" t="str">
        <f t="shared" si="48"/>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_xlfn.XLOOKUP(C987,customers!$A$2:$A$1001,customers!$B$2:$B$1001,0)</f>
        <v>Koressa O'Geneay</v>
      </c>
      <c r="G987" s="2" t="str">
        <f>_xlfn.XLOOKUP(C987,customers!$A$2:$A$1001,customers!$C$2:$C$1001,0)</f>
        <v>kogeneayrd@utexas.edu</v>
      </c>
      <c r="H987" s="2" t="str">
        <f>_xlfn.XLOOKUP(orders!C987,customers!$A$2:$A$1001,customers!$G$2:$G$1001,0)</f>
        <v>United States</v>
      </c>
      <c r="I987" t="str">
        <f>INDEX(products!$A$1:$G$49,MATCH(orders!$D987,products!$A$1:$A$49,0),MATCH($I$1,products!$A$1:$G$1,0))</f>
        <v>Rob</v>
      </c>
      <c r="J987" t="str">
        <f>INDEX(products!$A$1:$G$49,MATCH(orders!$D987,products!$A$1:$A$49,0),MATCH($J$1,products!$A$1:$G$1,0))</f>
        <v>L</v>
      </c>
      <c r="K987" s="1">
        <f>INDEX(products!$A$1:$G$49,MATCH(orders!$D987,products!$A$1:$A$49,0),MATCH($K$1,products!$A$1:$G$1,0))</f>
        <v>1</v>
      </c>
      <c r="L987">
        <f>INDEX(products!$A$1:$G$49,MATCH(orders!$D987,products!$A$1:$A$49,0),MATCH($L$1,products!$A$1:$G$1,0))</f>
        <v>11.95</v>
      </c>
      <c r="M987">
        <f t="shared" si="46"/>
        <v>47.8</v>
      </c>
      <c r="N987" t="str">
        <f t="shared" si="47"/>
        <v>Robusta</v>
      </c>
      <c r="O987" t="str">
        <f t="shared" si="48"/>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_xlfn.XLOOKUP(C988,customers!$A$2:$A$1001,customers!$B$2:$B$1001,0)</f>
        <v>Claudell Ayre</v>
      </c>
      <c r="G988" s="2" t="str">
        <f>_xlfn.XLOOKUP(C988,customers!$A$2:$A$1001,customers!$C$2:$C$1001,0)</f>
        <v>cayrere@symantec.com</v>
      </c>
      <c r="H988" s="2" t="str">
        <f>_xlfn.XLOOKUP(orders!C988,customers!$A$2:$A$1001,customers!$G$2:$G$1001,0)</f>
        <v>United States</v>
      </c>
      <c r="I988" t="str">
        <f>INDEX(products!$A$1:$G$49,MATCH(orders!$D988,products!$A$1:$A$49,0),MATCH($I$1,products!$A$1:$G$1,0))</f>
        <v>Lib</v>
      </c>
      <c r="J988" t="str">
        <f>INDEX(products!$A$1:$G$49,MATCH(orders!$D988,products!$A$1:$A$49,0),MATCH($J$1,products!$A$1:$G$1,0))</f>
        <v>M</v>
      </c>
      <c r="K988" s="1">
        <f>INDEX(products!$A$1:$G$49,MATCH(orders!$D988,products!$A$1:$A$49,0),MATCH($K$1,products!$A$1:$G$1,0))</f>
        <v>2.5</v>
      </c>
      <c r="L988">
        <f>INDEX(products!$A$1:$G$49,MATCH(orders!$D988,products!$A$1:$A$49,0),MATCH($L$1,products!$A$1:$G$1,0))</f>
        <v>33.464999999999996</v>
      </c>
      <c r="M988">
        <f t="shared" si="46"/>
        <v>33.464999999999996</v>
      </c>
      <c r="N988" t="str">
        <f t="shared" si="47"/>
        <v>Liberica</v>
      </c>
      <c r="O988" t="str">
        <f t="shared" si="48"/>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_xlfn.XLOOKUP(C989,customers!$A$2:$A$1001,customers!$B$2:$B$1001,0)</f>
        <v>Lorianne Kyneton</v>
      </c>
      <c r="G989" s="2" t="str">
        <f>_xlfn.XLOOKUP(C989,customers!$A$2:$A$1001,customers!$C$2:$C$1001,0)</f>
        <v>lkynetonrf@macromedia.com</v>
      </c>
      <c r="H989" s="2" t="str">
        <f>_xlfn.XLOOKUP(orders!C989,customers!$A$2:$A$1001,customers!$G$2:$G$1001,0)</f>
        <v>United Kingdom</v>
      </c>
      <c r="I989" t="str">
        <f>INDEX(products!$A$1:$G$49,MATCH(orders!$D989,products!$A$1:$A$49,0),MATCH($I$1,products!$A$1:$G$1,0))</f>
        <v>Ara</v>
      </c>
      <c r="J989" t="str">
        <f>INDEX(products!$A$1:$G$49,MATCH(orders!$D989,products!$A$1:$A$49,0),MATCH($J$1,products!$A$1:$G$1,0))</f>
        <v>D</v>
      </c>
      <c r="K989" s="1">
        <f>INDEX(products!$A$1:$G$49,MATCH(orders!$D989,products!$A$1:$A$49,0),MATCH($K$1,products!$A$1:$G$1,0))</f>
        <v>0.5</v>
      </c>
      <c r="L989">
        <f>INDEX(products!$A$1:$G$49,MATCH(orders!$D989,products!$A$1:$A$49,0),MATCH($L$1,products!$A$1:$G$1,0))</f>
        <v>5.97</v>
      </c>
      <c r="M989">
        <f t="shared" si="46"/>
        <v>29.849999999999998</v>
      </c>
      <c r="N989" t="str">
        <f t="shared" si="47"/>
        <v>Arabica</v>
      </c>
      <c r="O989" t="str">
        <f t="shared" si="48"/>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_xlfn.XLOOKUP(C990,customers!$A$2:$A$1001,customers!$B$2:$B$1001,0)</f>
        <v>Adele McFayden</v>
      </c>
      <c r="G990" s="2">
        <f>_xlfn.XLOOKUP(C990,customers!$A$2:$A$1001,customers!$C$2:$C$1001,0)</f>
        <v>0</v>
      </c>
      <c r="H990" s="2" t="str">
        <f>_xlfn.XLOOKUP(orders!C990,customers!$A$2:$A$1001,customers!$G$2:$G$1001,0)</f>
        <v>United Kingdom</v>
      </c>
      <c r="I990" t="str">
        <f>INDEX(products!$A$1:$G$49,MATCH(orders!$D990,products!$A$1:$A$49,0),MATCH($I$1,products!$A$1:$G$1,0))</f>
        <v>Rob</v>
      </c>
      <c r="J990" t="str">
        <f>INDEX(products!$A$1:$G$49,MATCH(orders!$D990,products!$A$1:$A$49,0),MATCH($J$1,products!$A$1:$G$1,0))</f>
        <v>M</v>
      </c>
      <c r="K990" s="1">
        <f>INDEX(products!$A$1:$G$49,MATCH(orders!$D990,products!$A$1:$A$49,0),MATCH($K$1,products!$A$1:$G$1,0))</f>
        <v>1</v>
      </c>
      <c r="L990">
        <f>INDEX(products!$A$1:$G$49,MATCH(orders!$D990,products!$A$1:$A$49,0),MATCH($L$1,products!$A$1:$G$1,0))</f>
        <v>9.9499999999999993</v>
      </c>
      <c r="M990">
        <f t="shared" si="46"/>
        <v>29.849999999999998</v>
      </c>
      <c r="N990" t="str">
        <f t="shared" si="47"/>
        <v>Robusta</v>
      </c>
      <c r="O990" t="str">
        <f t="shared" si="48"/>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_xlfn.XLOOKUP(C991,customers!$A$2:$A$1001,customers!$B$2:$B$1001,0)</f>
        <v>Herta Layne</v>
      </c>
      <c r="G991" s="2">
        <f>_xlfn.XLOOKUP(C991,customers!$A$2:$A$1001,customers!$C$2:$C$1001,0)</f>
        <v>0</v>
      </c>
      <c r="H991" s="2" t="str">
        <f>_xlfn.XLOOKUP(orders!C991,customers!$A$2:$A$1001,customers!$G$2:$G$1001,0)</f>
        <v>United States</v>
      </c>
      <c r="I991" t="str">
        <f>INDEX(products!$A$1:$G$49,MATCH(orders!$D991,products!$A$1:$A$49,0),MATCH($I$1,products!$A$1:$G$1,0))</f>
        <v>Ara</v>
      </c>
      <c r="J991" t="str">
        <f>INDEX(products!$A$1:$G$49,MATCH(orders!$D991,products!$A$1:$A$49,0),MATCH($J$1,products!$A$1:$G$1,0))</f>
        <v>M</v>
      </c>
      <c r="K991" s="1">
        <f>INDEX(products!$A$1:$G$49,MATCH(orders!$D991,products!$A$1:$A$49,0),MATCH($K$1,products!$A$1:$G$1,0))</f>
        <v>2.5</v>
      </c>
      <c r="L991">
        <f>INDEX(products!$A$1:$G$49,MATCH(orders!$D991,products!$A$1:$A$49,0),MATCH($L$1,products!$A$1:$G$1,0))</f>
        <v>25.874999999999996</v>
      </c>
      <c r="M991">
        <f t="shared" si="46"/>
        <v>155.24999999999997</v>
      </c>
      <c r="N991" t="str">
        <f t="shared" si="47"/>
        <v>Arabica</v>
      </c>
      <c r="O991" t="str">
        <f t="shared" si="48"/>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_xlfn.XLOOKUP(C992,customers!$A$2:$A$1001,customers!$B$2:$B$1001,0)</f>
        <v>Marguerite Graves</v>
      </c>
      <c r="G992" s="2">
        <f>_xlfn.XLOOKUP(C992,customers!$A$2:$A$1001,customers!$C$2:$C$1001,0)</f>
        <v>0</v>
      </c>
      <c r="H992" s="2" t="str">
        <f>_xlfn.XLOOKUP(orders!C992,customers!$A$2:$A$1001,customers!$G$2:$G$1001,0)</f>
        <v>United States</v>
      </c>
      <c r="I992" t="str">
        <f>INDEX(products!$A$1:$G$49,MATCH(orders!$D992,products!$A$1:$A$49,0),MATCH($I$1,products!$A$1:$G$1,0))</f>
        <v>Exc</v>
      </c>
      <c r="J992" t="str">
        <f>INDEX(products!$A$1:$G$49,MATCH(orders!$D992,products!$A$1:$A$49,0),MATCH($J$1,products!$A$1:$G$1,0))</f>
        <v>D</v>
      </c>
      <c r="K992" s="1">
        <f>INDEX(products!$A$1:$G$49,MATCH(orders!$D992,products!$A$1:$A$49,0),MATCH($K$1,products!$A$1:$G$1,0))</f>
        <v>0.2</v>
      </c>
      <c r="L992">
        <f>INDEX(products!$A$1:$G$49,MATCH(orders!$D992,products!$A$1:$A$49,0),MATCH($L$1,products!$A$1:$G$1,0))</f>
        <v>3.645</v>
      </c>
      <c r="M992">
        <f t="shared" si="46"/>
        <v>18.225000000000001</v>
      </c>
      <c r="N992" t="str">
        <f t="shared" si="47"/>
        <v>Excelsa</v>
      </c>
      <c r="O992" t="str">
        <f t="shared" si="48"/>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_xlfn.XLOOKUP(C993,customers!$A$2:$A$1001,customers!$B$2:$B$1001,0)</f>
        <v>Marguerite Graves</v>
      </c>
      <c r="G993" s="2">
        <f>_xlfn.XLOOKUP(C993,customers!$A$2:$A$1001,customers!$C$2:$C$1001,0)</f>
        <v>0</v>
      </c>
      <c r="H993" s="2" t="str">
        <f>_xlfn.XLOOKUP(orders!C993,customers!$A$2:$A$1001,customers!$G$2:$G$1001,0)</f>
        <v>United States</v>
      </c>
      <c r="I993" t="str">
        <f>INDEX(products!$A$1:$G$49,MATCH(orders!$D993,products!$A$1:$A$49,0),MATCH($I$1,products!$A$1:$G$1,0))</f>
        <v>Lib</v>
      </c>
      <c r="J993" t="str">
        <f>INDEX(products!$A$1:$G$49,MATCH(orders!$D993,products!$A$1:$A$49,0),MATCH($J$1,products!$A$1:$G$1,0))</f>
        <v>D</v>
      </c>
      <c r="K993" s="1">
        <f>INDEX(products!$A$1:$G$49,MATCH(orders!$D993,products!$A$1:$A$49,0),MATCH($K$1,products!$A$1:$G$1,0))</f>
        <v>0.5</v>
      </c>
      <c r="L993">
        <f>INDEX(products!$A$1:$G$49,MATCH(orders!$D993,products!$A$1:$A$49,0),MATCH($L$1,products!$A$1:$G$1,0))</f>
        <v>7.77</v>
      </c>
      <c r="M993">
        <f t="shared" si="46"/>
        <v>15.54</v>
      </c>
      <c r="N993" t="str">
        <f t="shared" si="47"/>
        <v>Liberica</v>
      </c>
      <c r="O993" t="str">
        <f t="shared" si="48"/>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_xlfn.XLOOKUP(C994,customers!$A$2:$A$1001,customers!$B$2:$B$1001,0)</f>
        <v>Desdemona Eye</v>
      </c>
      <c r="G994" s="2">
        <f>_xlfn.XLOOKUP(C994,customers!$A$2:$A$1001,customers!$C$2:$C$1001,0)</f>
        <v>0</v>
      </c>
      <c r="H994" s="2" t="str">
        <f>_xlfn.XLOOKUP(orders!C994,customers!$A$2:$A$1001,customers!$G$2:$G$1001,0)</f>
        <v>Ireland</v>
      </c>
      <c r="I994" t="str">
        <f>INDEX(products!$A$1:$G$49,MATCH(orders!$D994,products!$A$1:$A$49,0),MATCH($I$1,products!$A$1:$G$1,0))</f>
        <v>Lib</v>
      </c>
      <c r="J994" t="str">
        <f>INDEX(products!$A$1:$G$49,MATCH(orders!$D994,products!$A$1:$A$49,0),MATCH($J$1,products!$A$1:$G$1,0))</f>
        <v>L</v>
      </c>
      <c r="K994" s="1">
        <f>INDEX(products!$A$1:$G$49,MATCH(orders!$D994,products!$A$1:$A$49,0),MATCH($K$1,products!$A$1:$G$1,0))</f>
        <v>2.5</v>
      </c>
      <c r="L994">
        <f>INDEX(products!$A$1:$G$49,MATCH(orders!$D994,products!$A$1:$A$49,0),MATCH($L$1,products!$A$1:$G$1,0))</f>
        <v>36.454999999999998</v>
      </c>
      <c r="M994">
        <f t="shared" si="46"/>
        <v>109.36499999999999</v>
      </c>
      <c r="N994" t="str">
        <f t="shared" si="47"/>
        <v>Liberica</v>
      </c>
      <c r="O994" t="str">
        <f t="shared" si="48"/>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_xlfn.XLOOKUP(C995,customers!$A$2:$A$1001,customers!$B$2:$B$1001,0)</f>
        <v>Margarette Sterland</v>
      </c>
      <c r="G995" s="2">
        <f>_xlfn.XLOOKUP(C995,customers!$A$2:$A$1001,customers!$C$2:$C$1001,0)</f>
        <v>0</v>
      </c>
      <c r="H995" s="2" t="str">
        <f>_xlfn.XLOOKUP(orders!C995,customers!$A$2:$A$1001,customers!$G$2:$G$1001,0)</f>
        <v>United States</v>
      </c>
      <c r="I995" t="str">
        <f>INDEX(products!$A$1:$G$49,MATCH(orders!$D995,products!$A$1:$A$49,0),MATCH($I$1,products!$A$1:$G$1,0))</f>
        <v>Ara</v>
      </c>
      <c r="J995" t="str">
        <f>INDEX(products!$A$1:$G$49,MATCH(orders!$D995,products!$A$1:$A$49,0),MATCH($J$1,products!$A$1:$G$1,0))</f>
        <v>L</v>
      </c>
      <c r="K995" s="1">
        <f>INDEX(products!$A$1:$G$49,MATCH(orders!$D995,products!$A$1:$A$49,0),MATCH($K$1,products!$A$1:$G$1,0))</f>
        <v>1</v>
      </c>
      <c r="L995">
        <f>INDEX(products!$A$1:$G$49,MATCH(orders!$D995,products!$A$1:$A$49,0),MATCH($L$1,products!$A$1:$G$1,0))</f>
        <v>12.95</v>
      </c>
      <c r="M995">
        <f t="shared" si="46"/>
        <v>77.699999999999989</v>
      </c>
      <c r="N995" t="str">
        <f t="shared" si="47"/>
        <v>Arabica</v>
      </c>
      <c r="O995" t="str">
        <f t="shared" si="48"/>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_xlfn.XLOOKUP(C996,customers!$A$2:$A$1001,customers!$B$2:$B$1001,0)</f>
        <v>Catharine Scoines</v>
      </c>
      <c r="G996" s="2">
        <f>_xlfn.XLOOKUP(C996,customers!$A$2:$A$1001,customers!$C$2:$C$1001,0)</f>
        <v>0</v>
      </c>
      <c r="H996" s="2" t="str">
        <f>_xlfn.XLOOKUP(orders!C996,customers!$A$2:$A$1001,customers!$G$2:$G$1001,0)</f>
        <v>Ireland</v>
      </c>
      <c r="I996" t="str">
        <f>INDEX(products!$A$1:$G$49,MATCH(orders!$D996,products!$A$1:$A$49,0),MATCH($I$1,products!$A$1:$G$1,0))</f>
        <v>Ara</v>
      </c>
      <c r="J996" t="str">
        <f>INDEX(products!$A$1:$G$49,MATCH(orders!$D996,products!$A$1:$A$49,0),MATCH($J$1,products!$A$1:$G$1,0))</f>
        <v>D</v>
      </c>
      <c r="K996" s="1">
        <f>INDEX(products!$A$1:$G$49,MATCH(orders!$D996,products!$A$1:$A$49,0),MATCH($K$1,products!$A$1:$G$1,0))</f>
        <v>0.2</v>
      </c>
      <c r="L996">
        <f>INDEX(products!$A$1:$G$49,MATCH(orders!$D996,products!$A$1:$A$49,0),MATCH($L$1,products!$A$1:$G$1,0))</f>
        <v>2.9849999999999999</v>
      </c>
      <c r="M996">
        <f t="shared" si="46"/>
        <v>8.9550000000000001</v>
      </c>
      <c r="N996" t="str">
        <f t="shared" si="47"/>
        <v>Arabica</v>
      </c>
      <c r="O996" t="str">
        <f t="shared" si="48"/>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_xlfn.XLOOKUP(C997,customers!$A$2:$A$1001,customers!$B$2:$B$1001,0)</f>
        <v>Jennica Tewelson</v>
      </c>
      <c r="G997" s="2" t="str">
        <f>_xlfn.XLOOKUP(C997,customers!$A$2:$A$1001,customers!$C$2:$C$1001,0)</f>
        <v>jtewelsonrn@samsung.com</v>
      </c>
      <c r="H997" s="2" t="str">
        <f>_xlfn.XLOOKUP(orders!C997,customers!$A$2:$A$1001,customers!$G$2:$G$1001,0)</f>
        <v>United States</v>
      </c>
      <c r="I997" t="str">
        <f>INDEX(products!$A$1:$G$49,MATCH(orders!$D997,products!$A$1:$A$49,0),MATCH($I$1,products!$A$1:$G$1,0))</f>
        <v>Rob</v>
      </c>
      <c r="J997" t="str">
        <f>INDEX(products!$A$1:$G$49,MATCH(orders!$D997,products!$A$1:$A$49,0),MATCH($J$1,products!$A$1:$G$1,0))</f>
        <v>L</v>
      </c>
      <c r="K997" s="1">
        <f>INDEX(products!$A$1:$G$49,MATCH(orders!$D997,products!$A$1:$A$49,0),MATCH($K$1,products!$A$1:$G$1,0))</f>
        <v>2.5</v>
      </c>
      <c r="L997">
        <f>INDEX(products!$A$1:$G$49,MATCH(orders!$D997,products!$A$1:$A$49,0),MATCH($L$1,products!$A$1:$G$1,0))</f>
        <v>27.484999999999996</v>
      </c>
      <c r="M997">
        <f t="shared" si="46"/>
        <v>27.484999999999996</v>
      </c>
      <c r="N997" t="str">
        <f t="shared" si="47"/>
        <v>Robusta</v>
      </c>
      <c r="O997" t="str">
        <f t="shared" si="48"/>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_xlfn.XLOOKUP(C998,customers!$A$2:$A$1001,customers!$B$2:$B$1001,0)</f>
        <v>Marguerite Graves</v>
      </c>
      <c r="G998" s="2">
        <f>_xlfn.XLOOKUP(C998,customers!$A$2:$A$1001,customers!$C$2:$C$1001,0)</f>
        <v>0</v>
      </c>
      <c r="H998" s="2" t="str">
        <f>_xlfn.XLOOKUP(orders!C998,customers!$A$2:$A$1001,customers!$G$2:$G$1001,0)</f>
        <v>United States</v>
      </c>
      <c r="I998" t="str">
        <f>INDEX(products!$A$1:$G$49,MATCH(orders!$D998,products!$A$1:$A$49,0),MATCH($I$1,products!$A$1:$G$1,0))</f>
        <v>Rob</v>
      </c>
      <c r="J998" t="str">
        <f>INDEX(products!$A$1:$G$49,MATCH(orders!$D998,products!$A$1:$A$49,0),MATCH($J$1,products!$A$1:$G$1,0))</f>
        <v>M</v>
      </c>
      <c r="K998" s="1">
        <f>INDEX(products!$A$1:$G$49,MATCH(orders!$D998,products!$A$1:$A$49,0),MATCH($K$1,products!$A$1:$G$1,0))</f>
        <v>0.5</v>
      </c>
      <c r="L998">
        <f>INDEX(products!$A$1:$G$49,MATCH(orders!$D998,products!$A$1:$A$49,0),MATCH($L$1,products!$A$1:$G$1,0))</f>
        <v>5.97</v>
      </c>
      <c r="M998">
        <f t="shared" si="46"/>
        <v>29.849999999999998</v>
      </c>
      <c r="N998" t="str">
        <f t="shared" si="47"/>
        <v>Robusta</v>
      </c>
      <c r="O998" t="str">
        <f t="shared" si="48"/>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_xlfn.XLOOKUP(C999,customers!$A$2:$A$1001,customers!$B$2:$B$1001,0)</f>
        <v>Marguerite Graves</v>
      </c>
      <c r="G999" s="2">
        <f>_xlfn.XLOOKUP(C999,customers!$A$2:$A$1001,customers!$C$2:$C$1001,0)</f>
        <v>0</v>
      </c>
      <c r="H999" s="2" t="str">
        <f>_xlfn.XLOOKUP(orders!C999,customers!$A$2:$A$1001,customers!$G$2:$G$1001,0)</f>
        <v>United States</v>
      </c>
      <c r="I999" t="str">
        <f>INDEX(products!$A$1:$G$49,MATCH(orders!$D999,products!$A$1:$A$49,0),MATCH($I$1,products!$A$1:$G$1,0))</f>
        <v>Ara</v>
      </c>
      <c r="J999" t="str">
        <f>INDEX(products!$A$1:$G$49,MATCH(orders!$D999,products!$A$1:$A$49,0),MATCH($J$1,products!$A$1:$G$1,0))</f>
        <v>M</v>
      </c>
      <c r="K999" s="1">
        <f>INDEX(products!$A$1:$G$49,MATCH(orders!$D999,products!$A$1:$A$49,0),MATCH($K$1,products!$A$1:$G$1,0))</f>
        <v>0.5</v>
      </c>
      <c r="L999">
        <f>INDEX(products!$A$1:$G$49,MATCH(orders!$D999,products!$A$1:$A$49,0),MATCH($L$1,products!$A$1:$G$1,0))</f>
        <v>6.75</v>
      </c>
      <c r="M999">
        <f t="shared" si="46"/>
        <v>27</v>
      </c>
      <c r="N999" t="str">
        <f t="shared" si="47"/>
        <v>Arabica</v>
      </c>
      <c r="O999" t="str">
        <f t="shared" si="48"/>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_xlfn.XLOOKUP(C1000,customers!$A$2:$A$1001,customers!$B$2:$B$1001,0)</f>
        <v>Nicolina Jenny</v>
      </c>
      <c r="G1000" s="2" t="str">
        <f>_xlfn.XLOOKUP(C1000,customers!$A$2:$A$1001,customers!$C$2:$C$1001,0)</f>
        <v>njennyrq@bigcartel.com</v>
      </c>
      <c r="H1000" s="2" t="str">
        <f>_xlfn.XLOOKUP(orders!C1000,customers!$A$2:$A$1001,customers!$G$2:$G$1001,0)</f>
        <v>United States</v>
      </c>
      <c r="I1000" t="str">
        <f>INDEX(products!$A$1:$G$49,MATCH(orders!$D1000,products!$A$1:$A$49,0),MATCH($I$1,products!$A$1:$G$1,0))</f>
        <v>Ara</v>
      </c>
      <c r="J1000" t="str">
        <f>INDEX(products!$A$1:$G$49,MATCH(orders!$D1000,products!$A$1:$A$49,0),MATCH($J$1,products!$A$1:$G$1,0))</f>
        <v>D</v>
      </c>
      <c r="K1000" s="1">
        <f>INDEX(products!$A$1:$G$49,MATCH(orders!$D1000,products!$A$1:$A$49,0),MATCH($K$1,products!$A$1:$G$1,0))</f>
        <v>1</v>
      </c>
      <c r="L1000">
        <f>INDEX(products!$A$1:$G$49,MATCH(orders!$D1000,products!$A$1:$A$49,0),MATCH($L$1,products!$A$1:$G$1,0))</f>
        <v>9.9499999999999993</v>
      </c>
      <c r="M1000">
        <f t="shared" si="46"/>
        <v>9.9499999999999993</v>
      </c>
      <c r="N1000" t="str">
        <f t="shared" si="47"/>
        <v>Arabica</v>
      </c>
      <c r="O1000" t="str">
        <f t="shared" si="48"/>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_xlfn.XLOOKUP(C1001,customers!$A$2:$A$1001,customers!$B$2:$B$1001,0)</f>
        <v>Vidovic Antonelli</v>
      </c>
      <c r="G1001" s="2">
        <f>_xlfn.XLOOKUP(C1001,customers!$A$2:$A$1001,customers!$C$2:$C$1001,0)</f>
        <v>0</v>
      </c>
      <c r="H1001" s="2" t="str">
        <f>_xlfn.XLOOKUP(orders!C1001,customers!$A$2:$A$1001,customers!$G$2:$G$1001,0)</f>
        <v>United Kingdom</v>
      </c>
      <c r="I1001" t="str">
        <f>INDEX(products!$A$1:$G$49,MATCH(orders!$D1001,products!$A$1:$A$49,0),MATCH($I$1,products!$A$1:$G$1,0))</f>
        <v>Exc</v>
      </c>
      <c r="J1001" t="str">
        <f>INDEX(products!$A$1:$G$49,MATCH(orders!$D1001,products!$A$1:$A$49,0),MATCH($J$1,products!$A$1:$G$1,0))</f>
        <v>M</v>
      </c>
      <c r="K1001" s="1">
        <f>INDEX(products!$A$1:$G$49,MATCH(orders!$D1001,products!$A$1:$A$49,0),MATCH($K$1,products!$A$1:$G$1,0))</f>
        <v>0.2</v>
      </c>
      <c r="L1001">
        <f>INDEX(products!$A$1:$G$49,MATCH(orders!$D1001,products!$A$1:$A$49,0),MATCH($L$1,products!$A$1:$G$1,0))</f>
        <v>4.125</v>
      </c>
      <c r="M1001">
        <f t="shared" si="46"/>
        <v>12.375</v>
      </c>
      <c r="N1001" t="str">
        <f t="shared" si="47"/>
        <v>Excelsa</v>
      </c>
      <c r="O1001" t="str">
        <f t="shared" si="48"/>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Research</dc:creator>
  <cp:keywords/>
  <dc:description/>
  <cp:lastModifiedBy>Shingai Mhene</cp:lastModifiedBy>
  <cp:revision/>
  <dcterms:created xsi:type="dcterms:W3CDTF">2022-11-26T09:51:45Z</dcterms:created>
  <dcterms:modified xsi:type="dcterms:W3CDTF">2026-04-21T08:47:20Z</dcterms:modified>
  <cp:category/>
  <cp:contentStatus/>
</cp:coreProperties>
</file>